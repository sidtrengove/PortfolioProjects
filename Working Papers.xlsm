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tr\OneDrive\Desktop\"/>
    </mc:Choice>
  </mc:AlternateContent>
  <xr:revisionPtr revIDLastSave="0" documentId="13_ncr:1_{BB4D3AD5-A49F-4819-91A9-0EC620C24E53}" xr6:coauthVersionLast="47" xr6:coauthVersionMax="47" xr10:uidLastSave="{00000000-0000-0000-0000-000000000000}"/>
  <bookViews>
    <workbookView xWindow="-28920" yWindow="-120" windowWidth="29040" windowHeight="15840" xr2:uid="{A8312D47-12A4-43EB-858B-09D8E0E00FB5}"/>
  </bookViews>
  <sheets>
    <sheet name="Key" sheetId="2" r:id="rId1"/>
    <sheet name="Input" sheetId="1" r:id="rId2"/>
    <sheet name="SetUp" sheetId="3" r:id="rId3"/>
    <sheet name="Control" sheetId="4" r:id="rId4"/>
    <sheet name="MacroData" sheetId="5" r:id="rId5"/>
    <sheet name="File" sheetId="6" r:id="rId6"/>
    <sheet name="TB" sheetId="8" r:id="rId7"/>
    <sheet name="RVP" sheetId="7" r:id="rId8"/>
    <sheet name="E1" sheetId="9" r:id="rId9"/>
    <sheet name="E2" sheetId="10" r:id="rId10"/>
    <sheet name="E3" sheetId="11" r:id="rId11"/>
    <sheet name="E4" sheetId="12" r:id="rId12"/>
    <sheet name="E5" sheetId="29" r:id="rId13"/>
    <sheet name="H1" sheetId="13" r:id="rId14"/>
    <sheet name="H2" sheetId="14" r:id="rId15"/>
    <sheet name="H3" sheetId="15" r:id="rId16"/>
    <sheet name="H4" sheetId="16" r:id="rId17"/>
    <sheet name="I1" sheetId="18" r:id="rId18"/>
    <sheet name="J1" sheetId="19" r:id="rId19"/>
    <sheet name="J2" sheetId="20" r:id="rId20"/>
    <sheet name="J3" sheetId="21" r:id="rId21"/>
    <sheet name="J4" sheetId="22" r:id="rId22"/>
    <sheet name="M1" sheetId="24" r:id="rId23"/>
    <sheet name="O1" sheetId="25" r:id="rId24"/>
    <sheet name="Journals" sheetId="27" r:id="rId25"/>
    <sheet name="NIndex" sheetId="26" r:id="rId26"/>
  </sheets>
  <definedNames>
    <definedName name="CheckCellP">MacroData!$D$7</definedName>
    <definedName name="CheckCellPr">MacroData!$D$9</definedName>
    <definedName name="CheckCellR">MacroData!$D$8</definedName>
    <definedName name="ClientEmailBody">SetUp!$C$54</definedName>
    <definedName name="CurrentFolder">SetUp!$C$58</definedName>
    <definedName name="E1Copy">MacroData!$D$42:$D$45</definedName>
    <definedName name="E1CopyExtra">MacroData!$D$39</definedName>
    <definedName name="E1Paste">MacroData!$C$42:$C$45</definedName>
    <definedName name="E1PasteExtra">MacroData!$C$39</definedName>
    <definedName name="E2ClearExtraYE">'E2'!$G$9:$H$13</definedName>
    <definedName name="E2ClearYE">'E2'!$M$9:$M$13</definedName>
    <definedName name="E2CopyExtraYE">'E2'!$I$9:$I$13</definedName>
    <definedName name="E2CopyYE">'E2'!$N$9:$N$13</definedName>
    <definedName name="E2PasteExtraYE">'E2'!$F$9:$F$13</definedName>
    <definedName name="E2PasteYE">'E2'!$K$9:$K$13</definedName>
    <definedName name="E3ClearExtraYE">'E3'!$G$9:$H$13</definedName>
    <definedName name="E3ClearYE">'E3'!$M$9:$M$13</definedName>
    <definedName name="E3CopyExtraYE">'E3'!$I$9:$I$13</definedName>
    <definedName name="E3CopyYE">'E3'!$N$9:$N$13</definedName>
    <definedName name="E3PasteExtraYE">'E3'!$F$9:$F$13</definedName>
    <definedName name="E3PasteYE">'E3'!$K$9:$K$13</definedName>
    <definedName name="E4ClearExtraYE">'E4'!$G$9:$H$13</definedName>
    <definedName name="E4ClearYE">'E4'!$M$9:$M$13</definedName>
    <definedName name="E4CopyExtraYE">'E4'!$I$9:$I$13</definedName>
    <definedName name="E4CopyYE">'E4'!$N$9:$N$13</definedName>
    <definedName name="E4PasteExtraYE">'E4'!$F$9:$F$13</definedName>
    <definedName name="E4PasteYE">'E4'!$K$9:$K$13</definedName>
    <definedName name="E5ClearExtraYE">'E5'!$G$9:$H$13</definedName>
    <definedName name="E5ClearYE">'E5'!$M$9:$M$13</definedName>
    <definedName name="E5CopyExtraYE">'E5'!$I$9:$I$13</definedName>
    <definedName name="E5CopyYE">'E5'!$N$9:$N$13</definedName>
    <definedName name="E5PasteExtraYE">'E5'!$F$9:$F$13</definedName>
    <definedName name="E5PasteYE">'E5'!$K$9:$K$13</definedName>
    <definedName name="FinalReportMonth">SetUp!$C$13</definedName>
    <definedName name="H1Copy">'H1'!$F$7:$H$13</definedName>
    <definedName name="H1CopyYE">'H1'!$F$7:$F$13</definedName>
    <definedName name="H1Paste">'H1'!$H$7:$J$13</definedName>
    <definedName name="H1PasteYE">'H1'!$L$7:$L$13</definedName>
    <definedName name="H2Copy">'H2'!$F$7:$H$11</definedName>
    <definedName name="H2CopyYE">'H2'!$F$7:$F$11</definedName>
    <definedName name="H2Paste">'H2'!$H$7:$J$11</definedName>
    <definedName name="H2PasteYE">'H2'!$L$7:$L$11</definedName>
    <definedName name="H3Copy">'H3'!$S$9:$U$29</definedName>
    <definedName name="H3CopyExtra">MacroData!$D$40</definedName>
    <definedName name="H3CopyYE">'H3'!$S$9:$S$29</definedName>
    <definedName name="H3Paste">'H3'!$U$9:$W$29</definedName>
    <definedName name="H3PasteExtra">MacroData!$C$40</definedName>
    <definedName name="H3PasteYE">'H3'!$Y$9:$Y$29</definedName>
    <definedName name="H4Copy">'H4'!$F$7:$H$13</definedName>
    <definedName name="H4CopyYE">'H4'!$F$7:$F$13</definedName>
    <definedName name="H4Paste">'H4'!$H$7:$J$13</definedName>
    <definedName name="H4PasteYE">'H4'!$L$7:$L$13</definedName>
    <definedName name="I1Copy">'I1'!$F$7:$H$13</definedName>
    <definedName name="I1CopyYE">'I1'!$F$7:$F$13</definedName>
    <definedName name="I1Paste">'I1'!$H$7:$J$13</definedName>
    <definedName name="I1PasteYE">'I1'!$L$7:$L$13</definedName>
    <definedName name="J1Copy">'J1'!$F$7:$H$13</definedName>
    <definedName name="J1CopyYE">'J1'!$F$7:$F$13</definedName>
    <definedName name="J1Paste">'J1'!$H$7:$J$13</definedName>
    <definedName name="J1PasteYE">'J1'!$L$7:$L$13</definedName>
    <definedName name="J2Copy">'J2'!$F$7:$H$11</definedName>
    <definedName name="J2CopyYE">'J2'!$F$7:$F$11</definedName>
    <definedName name="J2Paste">'J2'!$H$7:$J$11</definedName>
    <definedName name="J2PasteYE">'J2'!$L$7:$L$11</definedName>
    <definedName name="J3Copy">'J3'!$S$9:$U$29</definedName>
    <definedName name="J3CopyYE">'J3'!$S$9:$S$29</definedName>
    <definedName name="J3Paste">'J3'!$U$9:$W$29</definedName>
    <definedName name="J3PasteYE">'J3'!$Y$9:$Y$29</definedName>
    <definedName name="J4Copy">'J4'!$F$7:$H$13</definedName>
    <definedName name="J4CopyYE">'J4'!$F$7:$F$13</definedName>
    <definedName name="J4paste">'J4'!$H$7:$J$13</definedName>
    <definedName name="J4PasteYE">'J4'!$L$7:$L$13</definedName>
    <definedName name="M1ClearYE">'M1'!$D$10:$E$21,'M1'!$G$10:$I$21,'M1'!$K$10:$N$21</definedName>
    <definedName name="Manager">SetUp!$C$19</definedName>
    <definedName name="ManagerDateSign">MacroData!$C$8</definedName>
    <definedName name="ManagerEmailBody">SetUp!$C$30</definedName>
    <definedName name="MangCost">SetUp!$C$20</definedName>
    <definedName name="MonthNumber">SetUp!$C$11</definedName>
    <definedName name="Name">SetUp!$C$7</definedName>
    <definedName name="O1ClearYE">'O1'!$D$9:$F$13,'O1'!$D$15:$F$19,'O1'!$D$21:$F$25,'O1'!$D$27:$F$31,'O1'!$J$10,'O1'!$J$8:$J$33</definedName>
    <definedName name="O1CopyYE">'O1'!$D$34:$J$34</definedName>
    <definedName name="O1PasteYE">'O1'!$D$8:$J$8</definedName>
    <definedName name="PartCost">SetUp!$C$22</definedName>
    <definedName name="Partner">SetUp!$C$21</definedName>
    <definedName name="PartnerDateSign">MacroData!$C$9</definedName>
    <definedName name="PartnerEmailBody">SetUp!$C$46</definedName>
    <definedName name="PFM1_">RVP!$C$10</definedName>
    <definedName name="PFM10_">RVP!$C$28</definedName>
    <definedName name="PFM10ph">RVP!$B$28</definedName>
    <definedName name="PFM11_">RVP!$C$30</definedName>
    <definedName name="PFM11ph">RVP!$B$30</definedName>
    <definedName name="PFM12_">RVP!$C$32</definedName>
    <definedName name="PFM12ph">RVP!$B$32</definedName>
    <definedName name="PFM1ph">RVP!$B$10</definedName>
    <definedName name="PFM2_">RVP!$C$12</definedName>
    <definedName name="PFM2ph">RVP!$B$12</definedName>
    <definedName name="PFM3_">RVP!$C$14</definedName>
    <definedName name="PFM3ph">RVP!$B$14</definedName>
    <definedName name="PFM4_">RVP!$C$16</definedName>
    <definedName name="PFM4ph">RVP!$B$16</definedName>
    <definedName name="PFM5_">RVP!$C$18</definedName>
    <definedName name="PFM5ph">RVP!$B$18</definedName>
    <definedName name="PFM6_">RVP!$C$20</definedName>
    <definedName name="PFM6ph">RVP!$B$20</definedName>
    <definedName name="PFM7_">RVP!$C$22</definedName>
    <definedName name="PFM7ph">RVP!$B$22</definedName>
    <definedName name="PFM8_">RVP!$C$24</definedName>
    <definedName name="PFM8ph">RVP!$B$24</definedName>
    <definedName name="PFM9_">RVP!$C$26</definedName>
    <definedName name="PFM9ph">RVP!$B$26</definedName>
    <definedName name="Preparer">SetUp!$C$17</definedName>
    <definedName name="PreparerEmailBody">SetUp!$C$38</definedName>
    <definedName name="PrepCost">SetUp!$C$18</definedName>
    <definedName name="PrepDateSign">MacroData!$C$7</definedName>
    <definedName name="PriorFolder">SetUp!$C$57</definedName>
    <definedName name="PriorPeriod">SetUp!$C$12</definedName>
    <definedName name="Ref_E1_E2">'E1'!$D$6</definedName>
    <definedName name="Ref_E1_E3">'E1'!$F$6</definedName>
    <definedName name="Ref_E1_E4">'E1'!$H$6</definedName>
    <definedName name="Ref_E1_E5">'E1'!$J$6</definedName>
    <definedName name="Ref_E2_E1">'E2'!$E$14</definedName>
    <definedName name="Ref_E3_E1">'E3'!$E$14</definedName>
    <definedName name="Ref_E4_E1">'E4'!$E$14</definedName>
    <definedName name="Ref_E5_E1">'E5'!$E$14</definedName>
    <definedName name="Ref_H1_H2">'H1'!$D$8</definedName>
    <definedName name="Ref_H1_H3">'H1'!$D$10</definedName>
    <definedName name="Ref_H1_H4">'H1'!$D$12</definedName>
    <definedName name="Ref_H2_H1">'H2'!$D$10</definedName>
    <definedName name="Ref_H3_H1">'H3'!$S$31</definedName>
    <definedName name="Ref_H3_JNL">'H3'!$L$6</definedName>
    <definedName name="Ref_H4_H1">'H4'!$F$15</definedName>
    <definedName name="Ref_J1_J2">'J1'!$D$8</definedName>
    <definedName name="Ref_J1_J3">'J1'!$D$10</definedName>
    <definedName name="Ref_J1_J4">'J1'!$D$12</definedName>
    <definedName name="Ref_J2_J1">'J2'!$D$10</definedName>
    <definedName name="Ref_J3_J1">'J3'!$S$31</definedName>
    <definedName name="Ref_J3_JNL">'J3'!$L$6</definedName>
    <definedName name="Ref_J4_J1">'J4'!$F$15</definedName>
    <definedName name="Ref_JNL_H3">Journals!$A$19</definedName>
    <definedName name="Ref_JNL_J3">Journals!$A$29</definedName>
    <definedName name="ReportingMonth">SetUp!$C$10</definedName>
    <definedName name="ReportName">SetUp!$C$14</definedName>
    <definedName name="Today">MacroData!$D$6</definedName>
    <definedName name="YE0">SetUp!$C$8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" i="27" l="1"/>
  <c r="E35" i="27"/>
  <c r="J12" i="15"/>
  <c r="I12" i="15"/>
  <c r="S12" i="15" l="1"/>
  <c r="G46" i="8" l="1"/>
  <c r="G45" i="8"/>
  <c r="G32" i="8"/>
  <c r="G31" i="8"/>
  <c r="B6" i="9"/>
  <c r="D12" i="29"/>
  <c r="D11" i="29"/>
  <c r="D12" i="12"/>
  <c r="D11" i="12"/>
  <c r="D12" i="11"/>
  <c r="D11" i="11"/>
  <c r="D12" i="10"/>
  <c r="D11" i="10"/>
  <c r="J14" i="9"/>
  <c r="J12" i="9"/>
  <c r="J10" i="9"/>
  <c r="H10" i="9"/>
  <c r="C6" i="15"/>
  <c r="J34" i="25"/>
  <c r="K8" i="25"/>
  <c r="E8" i="25"/>
  <c r="H22" i="25"/>
  <c r="H17" i="25"/>
  <c r="G9" i="8"/>
  <c r="F32" i="25"/>
  <c r="E32" i="25"/>
  <c r="D32" i="25"/>
  <c r="F26" i="25"/>
  <c r="E26" i="25"/>
  <c r="D26" i="25"/>
  <c r="F20" i="25"/>
  <c r="E20" i="25"/>
  <c r="D20" i="25"/>
  <c r="F14" i="25"/>
  <c r="E14" i="25"/>
  <c r="D14" i="25"/>
  <c r="H30" i="25"/>
  <c r="H29" i="25"/>
  <c r="H28" i="25"/>
  <c r="H24" i="25"/>
  <c r="H23" i="25"/>
  <c r="H18" i="25"/>
  <c r="H16" i="25"/>
  <c r="H11" i="25"/>
  <c r="H12" i="25"/>
  <c r="H10" i="25"/>
  <c r="I17" i="27"/>
  <c r="J17" i="27" s="1"/>
  <c r="I18" i="27"/>
  <c r="J18" i="27" s="1"/>
  <c r="I27" i="27"/>
  <c r="J27" i="27" s="1"/>
  <c r="I28" i="27"/>
  <c r="J28" i="27" s="1"/>
  <c r="I37" i="27"/>
  <c r="J37" i="27" s="1"/>
  <c r="I38" i="27"/>
  <c r="J38" i="27" s="1"/>
  <c r="P28" i="21"/>
  <c r="P26" i="21"/>
  <c r="P24" i="21"/>
  <c r="P22" i="21"/>
  <c r="P20" i="21"/>
  <c r="P18" i="21"/>
  <c r="P16" i="21"/>
  <c r="P14" i="21"/>
  <c r="P12" i="21"/>
  <c r="P10" i="21"/>
  <c r="L30" i="21"/>
  <c r="L28" i="21"/>
  <c r="L26" i="21"/>
  <c r="L24" i="21"/>
  <c r="L22" i="21"/>
  <c r="L20" i="21"/>
  <c r="L18" i="21"/>
  <c r="L16" i="21"/>
  <c r="L14" i="21"/>
  <c r="L12" i="21"/>
  <c r="L10" i="21"/>
  <c r="D30" i="27"/>
  <c r="E30" i="27"/>
  <c r="D31" i="27"/>
  <c r="E31" i="27"/>
  <c r="D32" i="27"/>
  <c r="I32" i="27" s="1"/>
  <c r="E32" i="27"/>
  <c r="D33" i="27"/>
  <c r="I33" i="27" s="1"/>
  <c r="E33" i="27"/>
  <c r="D34" i="27"/>
  <c r="E34" i="27"/>
  <c r="E29" i="27"/>
  <c r="D29" i="27"/>
  <c r="L30" i="15"/>
  <c r="L28" i="15"/>
  <c r="L26" i="15"/>
  <c r="L24" i="15"/>
  <c r="L22" i="15"/>
  <c r="L20" i="15"/>
  <c r="L18" i="15"/>
  <c r="L16" i="15"/>
  <c r="L14" i="15"/>
  <c r="L12" i="15"/>
  <c r="L10" i="15"/>
  <c r="I29" i="27" l="1"/>
  <c r="I34" i="27"/>
  <c r="I31" i="27"/>
  <c r="I30" i="27"/>
  <c r="F34" i="25"/>
  <c r="D34" i="25"/>
  <c r="H14" i="25"/>
  <c r="K14" i="25" s="1"/>
  <c r="H32" i="25"/>
  <c r="K32" i="25" s="1"/>
  <c r="H26" i="25"/>
  <c r="K26" i="25" s="1"/>
  <c r="E34" i="25"/>
  <c r="H20" i="25"/>
  <c r="K20" i="25" s="1"/>
  <c r="L37" i="27"/>
  <c r="K37" i="27"/>
  <c r="L28" i="27"/>
  <c r="K28" i="27"/>
  <c r="L27" i="27"/>
  <c r="L18" i="27"/>
  <c r="K27" i="27"/>
  <c r="K18" i="27"/>
  <c r="L38" i="27"/>
  <c r="L17" i="27"/>
  <c r="K38" i="27"/>
  <c r="K17" i="27"/>
  <c r="K34" i="25" l="1"/>
  <c r="H34" i="25"/>
  <c r="G14" i="8" l="1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41" i="8"/>
  <c r="G42" i="8"/>
  <c r="G43" i="8"/>
  <c r="G44" i="8"/>
  <c r="G47" i="8"/>
  <c r="G48" i="8"/>
  <c r="B8" i="25" l="1"/>
  <c r="B10" i="25" s="1"/>
  <c r="B11" i="25" s="1"/>
  <c r="B12" i="25" s="1"/>
  <c r="B16" i="25" s="1"/>
  <c r="B17" i="25" s="1"/>
  <c r="B18" i="25" s="1"/>
  <c r="B22" i="25" s="1"/>
  <c r="B23" i="25" s="1"/>
  <c r="B24" i="25" s="1"/>
  <c r="B28" i="25" s="1"/>
  <c r="B29" i="25" s="1"/>
  <c r="B30" i="25" s="1"/>
  <c r="N23" i="24"/>
  <c r="M23" i="24"/>
  <c r="L23" i="24"/>
  <c r="K23" i="24"/>
  <c r="I23" i="24"/>
  <c r="H23" i="24"/>
  <c r="G23" i="24"/>
  <c r="E23" i="24"/>
  <c r="D23" i="24"/>
  <c r="F11" i="24"/>
  <c r="F12" i="24"/>
  <c r="F13" i="24"/>
  <c r="F14" i="24"/>
  <c r="F15" i="24"/>
  <c r="F16" i="24"/>
  <c r="F17" i="24"/>
  <c r="F18" i="24"/>
  <c r="F19" i="24"/>
  <c r="F20" i="24"/>
  <c r="F21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F10" i="24"/>
  <c r="B10" i="24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J14" i="21"/>
  <c r="S14" i="21" s="1"/>
  <c r="J24" i="21"/>
  <c r="J18" i="21"/>
  <c r="J16" i="21"/>
  <c r="J12" i="21"/>
  <c r="S12" i="21" s="1"/>
  <c r="J10" i="21"/>
  <c r="S10" i="21" s="1"/>
  <c r="Y30" i="21"/>
  <c r="W30" i="21"/>
  <c r="U30" i="21"/>
  <c r="I28" i="21"/>
  <c r="I26" i="21"/>
  <c r="I24" i="21"/>
  <c r="I22" i="21"/>
  <c r="J22" i="21" s="1"/>
  <c r="I20" i="21"/>
  <c r="J20" i="21" s="1"/>
  <c r="I18" i="21"/>
  <c r="I16" i="21"/>
  <c r="I14" i="21"/>
  <c r="I12" i="21"/>
  <c r="I10" i="21"/>
  <c r="Y8" i="21"/>
  <c r="B1" i="21"/>
  <c r="L14" i="22"/>
  <c r="J14" i="22"/>
  <c r="H14" i="22"/>
  <c r="L6" i="22"/>
  <c r="L12" i="20"/>
  <c r="J12" i="20"/>
  <c r="H12" i="20"/>
  <c r="L6" i="20"/>
  <c r="L14" i="19"/>
  <c r="J14" i="19"/>
  <c r="H14" i="19"/>
  <c r="L6" i="19"/>
  <c r="L14" i="18"/>
  <c r="J14" i="18"/>
  <c r="H14" i="18"/>
  <c r="L6" i="18"/>
  <c r="L14" i="16"/>
  <c r="J14" i="16"/>
  <c r="H14" i="16"/>
  <c r="L6" i="16"/>
  <c r="B1" i="16"/>
  <c r="Y30" i="15"/>
  <c r="W30" i="15"/>
  <c r="U30" i="15"/>
  <c r="J28" i="15"/>
  <c r="S28" i="15" s="1"/>
  <c r="P28" i="15" s="1"/>
  <c r="I28" i="15"/>
  <c r="I26" i="15"/>
  <c r="I24" i="15"/>
  <c r="I22" i="15"/>
  <c r="I20" i="15"/>
  <c r="I18" i="15"/>
  <c r="I16" i="15"/>
  <c r="I14" i="15"/>
  <c r="I10" i="15"/>
  <c r="Y8" i="15"/>
  <c r="B1" i="15"/>
  <c r="J23" i="24" l="1"/>
  <c r="F23" i="24"/>
  <c r="S16" i="21"/>
  <c r="S18" i="21"/>
  <c r="J28" i="21"/>
  <c r="S28" i="21" s="1"/>
  <c r="J26" i="21"/>
  <c r="S26" i="21" s="1"/>
  <c r="S24" i="21"/>
  <c r="S22" i="21"/>
  <c r="S20" i="21"/>
  <c r="J18" i="15"/>
  <c r="S18" i="15" s="1"/>
  <c r="P18" i="15" s="1"/>
  <c r="P12" i="15"/>
  <c r="J26" i="15"/>
  <c r="S26" i="15" s="1"/>
  <c r="P26" i="15" s="1"/>
  <c r="J24" i="15"/>
  <c r="S24" i="15" s="1"/>
  <c r="P24" i="15" s="1"/>
  <c r="J20" i="15"/>
  <c r="S20" i="15" s="1"/>
  <c r="P20" i="15" s="1"/>
  <c r="J10" i="15"/>
  <c r="S10" i="15" s="1"/>
  <c r="J22" i="15"/>
  <c r="S22" i="15" s="1"/>
  <c r="P22" i="15" s="1"/>
  <c r="J14" i="15"/>
  <c r="S14" i="15" s="1"/>
  <c r="P14" i="15" s="1"/>
  <c r="J16" i="15"/>
  <c r="S16" i="15" s="1"/>
  <c r="P16" i="15" s="1"/>
  <c r="D20" i="27" l="1"/>
  <c r="E20" i="27"/>
  <c r="D21" i="27"/>
  <c r="E21" i="27"/>
  <c r="D23" i="27"/>
  <c r="E23" i="27"/>
  <c r="D22" i="27"/>
  <c r="I22" i="27" s="1"/>
  <c r="E22" i="27"/>
  <c r="E24" i="27"/>
  <c r="D24" i="27"/>
  <c r="P10" i="15"/>
  <c r="S30" i="15"/>
  <c r="F10" i="13" s="1"/>
  <c r="I21" i="27" l="1"/>
  <c r="I23" i="27"/>
  <c r="P30" i="15"/>
  <c r="D19" i="27"/>
  <c r="E19" i="27"/>
  <c r="I24" i="27"/>
  <c r="I20" i="27"/>
  <c r="S30" i="21"/>
  <c r="F10" i="19" s="1"/>
  <c r="P30" i="21"/>
  <c r="L12" i="14"/>
  <c r="J12" i="14"/>
  <c r="H12" i="14"/>
  <c r="L6" i="14"/>
  <c r="L14" i="13"/>
  <c r="J14" i="13"/>
  <c r="H14" i="13"/>
  <c r="L6" i="13"/>
  <c r="Q12" i="29"/>
  <c r="Q11" i="29"/>
  <c r="Q10" i="29"/>
  <c r="Q9" i="29"/>
  <c r="Q12" i="12"/>
  <c r="Q11" i="12"/>
  <c r="Q10" i="12"/>
  <c r="Q9" i="12"/>
  <c r="Q12" i="11"/>
  <c r="Q11" i="11"/>
  <c r="Q10" i="11"/>
  <c r="Q14" i="11" s="1"/>
  <c r="Q9" i="11"/>
  <c r="Q10" i="10"/>
  <c r="Q14" i="10" s="1"/>
  <c r="Q11" i="10"/>
  <c r="Q12" i="10"/>
  <c r="Q9" i="10"/>
  <c r="B45" i="5"/>
  <c r="B44" i="5"/>
  <c r="B43" i="5"/>
  <c r="B42" i="5"/>
  <c r="J23" i="9"/>
  <c r="H23" i="9"/>
  <c r="F23" i="9"/>
  <c r="D23" i="9"/>
  <c r="L23" i="9" s="1"/>
  <c r="J19" i="9"/>
  <c r="H19" i="9"/>
  <c r="F19" i="9"/>
  <c r="D19" i="9"/>
  <c r="L19" i="9" s="1"/>
  <c r="H14" i="9"/>
  <c r="F14" i="9"/>
  <c r="D14" i="9"/>
  <c r="Q14" i="29"/>
  <c r="M14" i="29"/>
  <c r="H14" i="29"/>
  <c r="G14" i="29"/>
  <c r="F14" i="29"/>
  <c r="I12" i="29"/>
  <c r="I11" i="29"/>
  <c r="I10" i="29"/>
  <c r="I9" i="29"/>
  <c r="B6" i="29"/>
  <c r="B1" i="29"/>
  <c r="Q14" i="12"/>
  <c r="M14" i="12"/>
  <c r="H14" i="12"/>
  <c r="G14" i="12"/>
  <c r="H12" i="9" s="1"/>
  <c r="F14" i="12"/>
  <c r="I12" i="12"/>
  <c r="I11" i="12"/>
  <c r="I10" i="12"/>
  <c r="I9" i="12"/>
  <c r="B6" i="12"/>
  <c r="B1" i="12"/>
  <c r="M14" i="11"/>
  <c r="H14" i="11"/>
  <c r="G14" i="11"/>
  <c r="F12" i="9" s="1"/>
  <c r="F14" i="11"/>
  <c r="F10" i="9" s="1"/>
  <c r="F30" i="9" s="1"/>
  <c r="I12" i="11"/>
  <c r="I11" i="11"/>
  <c r="I10" i="11"/>
  <c r="I9" i="11"/>
  <c r="B6" i="11"/>
  <c r="B1" i="11"/>
  <c r="B6" i="10"/>
  <c r="M14" i="10"/>
  <c r="H14" i="10"/>
  <c r="G14" i="10"/>
  <c r="D12" i="9" s="1"/>
  <c r="F14" i="10"/>
  <c r="D10" i="9" s="1"/>
  <c r="I12" i="10"/>
  <c r="I11" i="10"/>
  <c r="I10" i="10"/>
  <c r="I9" i="10"/>
  <c r="B1" i="13"/>
  <c r="B1" i="14"/>
  <c r="B1" i="18"/>
  <c r="B1" i="19"/>
  <c r="B1" i="20"/>
  <c r="B1" i="22"/>
  <c r="B1" i="24"/>
  <c r="B1" i="25"/>
  <c r="B1" i="27"/>
  <c r="B1" i="26"/>
  <c r="B1" i="10"/>
  <c r="B30" i="9"/>
  <c r="B1" i="9"/>
  <c r="F9" i="5"/>
  <c r="F8" i="5"/>
  <c r="F7" i="5"/>
  <c r="E9" i="5"/>
  <c r="E8" i="5"/>
  <c r="E7" i="5"/>
  <c r="D6" i="5"/>
  <c r="P3" i="9" l="1"/>
  <c r="AB3" i="21"/>
  <c r="M3" i="24"/>
  <c r="P2" i="9"/>
  <c r="AB2" i="21"/>
  <c r="O2" i="9"/>
  <c r="AA2" i="21"/>
  <c r="O3" i="9"/>
  <c r="AA3" i="21"/>
  <c r="N2" i="9"/>
  <c r="Z2" i="21"/>
  <c r="F2" i="26"/>
  <c r="N3" i="9"/>
  <c r="Z3" i="21"/>
  <c r="J24" i="27"/>
  <c r="K24" i="27"/>
  <c r="L24" i="27"/>
  <c r="I19" i="27"/>
  <c r="D25" i="27"/>
  <c r="E25" i="27"/>
  <c r="E26" i="27" s="1"/>
  <c r="E36" i="27"/>
  <c r="P3" i="29"/>
  <c r="P3" i="20"/>
  <c r="H3" i="26"/>
  <c r="N3" i="27"/>
  <c r="R3" i="16"/>
  <c r="K2" i="24"/>
  <c r="R3" i="13"/>
  <c r="N2" i="27"/>
  <c r="Z2" i="15"/>
  <c r="Z3" i="15"/>
  <c r="P2" i="19"/>
  <c r="P3" i="27"/>
  <c r="P3" i="22"/>
  <c r="P3" i="19"/>
  <c r="P2" i="22"/>
  <c r="R3" i="22"/>
  <c r="Q3" i="10"/>
  <c r="O3" i="14"/>
  <c r="R3" i="10"/>
  <c r="N3" i="25"/>
  <c r="Q3" i="18"/>
  <c r="P3" i="14"/>
  <c r="O3" i="25"/>
  <c r="R3" i="18"/>
  <c r="P2" i="12"/>
  <c r="O2" i="27"/>
  <c r="Q2" i="22"/>
  <c r="Q2" i="19"/>
  <c r="AA2" i="15"/>
  <c r="R2" i="29"/>
  <c r="Q3" i="29"/>
  <c r="Q2" i="12"/>
  <c r="R3" i="29"/>
  <c r="R2" i="22"/>
  <c r="Q3" i="22"/>
  <c r="AA3" i="15"/>
  <c r="P2" i="13"/>
  <c r="R2" i="12"/>
  <c r="O3" i="27"/>
  <c r="Q3" i="19"/>
  <c r="L2" i="24"/>
  <c r="R3" i="19"/>
  <c r="AB3" i="15"/>
  <c r="Q2" i="13"/>
  <c r="P3" i="12"/>
  <c r="P2" i="16"/>
  <c r="G2" i="26"/>
  <c r="O2" i="20"/>
  <c r="Q2" i="16"/>
  <c r="H2" i="26"/>
  <c r="M2" i="24"/>
  <c r="P2" i="20"/>
  <c r="R2" i="16"/>
  <c r="R2" i="13"/>
  <c r="P2" i="11"/>
  <c r="Q3" i="12"/>
  <c r="P2" i="27"/>
  <c r="F3" i="26"/>
  <c r="K3" i="24"/>
  <c r="N3" i="20"/>
  <c r="P3" i="16"/>
  <c r="P3" i="13"/>
  <c r="Q2" i="11"/>
  <c r="R3" i="12"/>
  <c r="AB2" i="15"/>
  <c r="N2" i="20"/>
  <c r="P2" i="10"/>
  <c r="G3" i="26"/>
  <c r="M2" i="25"/>
  <c r="L3" i="24"/>
  <c r="O3" i="20"/>
  <c r="P2" i="18"/>
  <c r="Q3" i="16"/>
  <c r="N2" i="14"/>
  <c r="Q3" i="13"/>
  <c r="R2" i="11"/>
  <c r="Q2" i="18"/>
  <c r="P3" i="11"/>
  <c r="Q2" i="10"/>
  <c r="N2" i="25"/>
  <c r="O2" i="14"/>
  <c r="R2" i="10"/>
  <c r="O2" i="25"/>
  <c r="R2" i="18"/>
  <c r="P2" i="14"/>
  <c r="Q3" i="11"/>
  <c r="P2" i="29"/>
  <c r="R2" i="19"/>
  <c r="P3" i="10"/>
  <c r="M3" i="25"/>
  <c r="P3" i="18"/>
  <c r="N3" i="14"/>
  <c r="R3" i="11"/>
  <c r="Q2" i="29"/>
  <c r="L14" i="9"/>
  <c r="D30" i="9"/>
  <c r="D16" i="9"/>
  <c r="G33" i="8" s="1"/>
  <c r="F16" i="9"/>
  <c r="G37" i="8" s="1"/>
  <c r="K14" i="10"/>
  <c r="K14" i="11"/>
  <c r="K14" i="12"/>
  <c r="K14" i="29"/>
  <c r="I14" i="29"/>
  <c r="I14" i="12"/>
  <c r="I14" i="11"/>
  <c r="I14" i="10"/>
  <c r="I25" i="27" l="1"/>
  <c r="J25" i="27" s="1"/>
  <c r="D26" i="27"/>
  <c r="I26" i="27" s="1"/>
  <c r="J20" i="27"/>
  <c r="I35" i="27"/>
  <c r="D36" i="27"/>
  <c r="I36" i="27" s="1"/>
  <c r="L10" i="9"/>
  <c r="H30" i="9"/>
  <c r="H16" i="9"/>
  <c r="G39" i="8" s="1"/>
  <c r="J30" i="9"/>
  <c r="L30" i="9" s="1"/>
  <c r="J19" i="27" l="1"/>
  <c r="L26" i="27"/>
  <c r="J26" i="27"/>
  <c r="K26" i="27"/>
  <c r="J22" i="27"/>
  <c r="J23" i="27"/>
  <c r="J21" i="27"/>
  <c r="J36" i="27"/>
  <c r="L36" i="27"/>
  <c r="K36" i="27"/>
  <c r="J35" i="27"/>
  <c r="J31" i="27"/>
  <c r="J32" i="27"/>
  <c r="J33" i="27"/>
  <c r="J29" i="27"/>
  <c r="J30" i="27"/>
  <c r="J34" i="27"/>
  <c r="B1" i="7" l="1"/>
  <c r="G8" i="8"/>
  <c r="G10" i="8"/>
  <c r="G11" i="8"/>
  <c r="G12" i="8"/>
  <c r="G13" i="8"/>
  <c r="G7" i="8"/>
  <c r="B1" i="8"/>
  <c r="C19" i="5"/>
  <c r="C38" i="3"/>
  <c r="C21" i="5" s="1"/>
  <c r="B1" i="2"/>
  <c r="B1" i="4"/>
  <c r="B1" i="5"/>
  <c r="C33" i="5"/>
  <c r="C26" i="5"/>
  <c r="C32" i="5"/>
  <c r="C25" i="5"/>
  <c r="C13" i="5"/>
  <c r="B1" i="3"/>
  <c r="C13" i="3"/>
  <c r="C10" i="3"/>
  <c r="D40" i="5" l="1"/>
  <c r="D39" i="5"/>
  <c r="K32" i="27"/>
  <c r="L32" i="27" s="1"/>
  <c r="K29" i="27"/>
  <c r="L29" i="27" s="1"/>
  <c r="K33" i="27"/>
  <c r="L33" i="27" s="1"/>
  <c r="K31" i="27"/>
  <c r="L31" i="27" s="1"/>
  <c r="K30" i="27"/>
  <c r="L30" i="27" s="1"/>
  <c r="K34" i="27"/>
  <c r="L34" i="27" s="1"/>
  <c r="F6" i="18"/>
  <c r="H6" i="18" s="1"/>
  <c r="J6" i="18" s="1"/>
  <c r="F6" i="20"/>
  <c r="H6" i="20" s="1"/>
  <c r="J6" i="20" s="1"/>
  <c r="S8" i="21"/>
  <c r="U8" i="21" s="1"/>
  <c r="W8" i="21" s="1"/>
  <c r="F6" i="16"/>
  <c r="H6" i="16" s="1"/>
  <c r="J6" i="16" s="1"/>
  <c r="F6" i="19"/>
  <c r="H6" i="19" s="1"/>
  <c r="J6" i="19" s="1"/>
  <c r="F6" i="22"/>
  <c r="H6" i="22" s="1"/>
  <c r="J6" i="22" s="1"/>
  <c r="K22" i="27"/>
  <c r="L22" i="27" s="1"/>
  <c r="K21" i="27"/>
  <c r="L21" i="27" s="1"/>
  <c r="K20" i="27"/>
  <c r="L20" i="27" s="1"/>
  <c r="K23" i="27"/>
  <c r="L23" i="27" s="1"/>
  <c r="K19" i="27"/>
  <c r="L19" i="27" s="1"/>
  <c r="K25" i="27"/>
  <c r="L25" i="27" s="1"/>
  <c r="K35" i="27"/>
  <c r="L35" i="27" s="1"/>
  <c r="S8" i="15"/>
  <c r="U8" i="15" s="1"/>
  <c r="W8" i="15" s="1"/>
  <c r="F6" i="13"/>
  <c r="H6" i="13" s="1"/>
  <c r="J6" i="13" s="1"/>
  <c r="F6" i="14"/>
  <c r="H6" i="14" s="1"/>
  <c r="J6" i="14" s="1"/>
  <c r="C11" i="3"/>
  <c r="B28" i="9"/>
  <c r="C46" i="3"/>
  <c r="C28" i="5" s="1"/>
  <c r="C37" i="3"/>
  <c r="C20" i="5" s="1"/>
  <c r="C22" i="5" s="1"/>
  <c r="C45" i="3"/>
  <c r="C27" i="5" s="1"/>
  <c r="C57" i="3"/>
  <c r="G8" i="4" s="1"/>
  <c r="C58" i="3"/>
  <c r="G9" i="4" s="1"/>
  <c r="C54" i="3"/>
  <c r="C35" i="5" s="1"/>
  <c r="C30" i="3"/>
  <c r="C15" i="5" s="1"/>
  <c r="C53" i="3"/>
  <c r="C34" i="5" s="1"/>
  <c r="C29" i="3"/>
  <c r="C14" i="5" s="1"/>
  <c r="C12" i="3"/>
  <c r="C14" i="3"/>
  <c r="B2" i="15" l="1"/>
  <c r="B2" i="16"/>
  <c r="B2" i="21"/>
  <c r="C29" i="5"/>
  <c r="B2" i="9"/>
  <c r="B2" i="12"/>
  <c r="B2" i="27"/>
  <c r="B2" i="11"/>
  <c r="B2" i="26"/>
  <c r="B2" i="20"/>
  <c r="B2" i="22"/>
  <c r="B2" i="18"/>
  <c r="B2" i="10"/>
  <c r="B2" i="24"/>
  <c r="B2" i="19"/>
  <c r="B2" i="13"/>
  <c r="B2" i="25"/>
  <c r="B2" i="14"/>
  <c r="B2" i="29"/>
  <c r="C16" i="5"/>
  <c r="C36" i="5"/>
  <c r="B12" i="4" s="1"/>
  <c r="D22" i="5"/>
  <c r="E73" i="4"/>
  <c r="B2" i="7"/>
  <c r="B2" i="8"/>
  <c r="B2" i="4"/>
  <c r="B2" i="2"/>
  <c r="B2" i="3"/>
  <c r="B2" i="5"/>
  <c r="F10" i="22" l="1"/>
  <c r="N10" i="22" s="1"/>
  <c r="F8" i="22"/>
  <c r="N8" i="22" s="1"/>
  <c r="D38" i="25"/>
  <c r="K37" i="25"/>
  <c r="K40" i="25" s="1"/>
  <c r="K45" i="25" s="1"/>
  <c r="D37" i="25"/>
  <c r="F10" i="18"/>
  <c r="N10" i="18" s="1"/>
  <c r="F8" i="18"/>
  <c r="F12" i="18"/>
  <c r="N12" i="18" s="1"/>
  <c r="F10" i="20"/>
  <c r="N10" i="19"/>
  <c r="F12" i="22"/>
  <c r="N12" i="22" s="1"/>
  <c r="N10" i="13"/>
  <c r="F12" i="16"/>
  <c r="N12" i="16" s="1"/>
  <c r="F10" i="16"/>
  <c r="N10" i="16" s="1"/>
  <c r="F8" i="16"/>
  <c r="N8" i="16" s="1"/>
  <c r="F10" i="14"/>
  <c r="D36" i="5"/>
  <c r="D29" i="5"/>
  <c r="E75" i="4"/>
  <c r="D16" i="5"/>
  <c r="E63" i="4"/>
  <c r="D40" i="25" l="1"/>
  <c r="D45" i="25" s="1"/>
  <c r="F8" i="19"/>
  <c r="F12" i="20"/>
  <c r="F14" i="22"/>
  <c r="F12" i="19" s="1"/>
  <c r="N12" i="19" s="1"/>
  <c r="N8" i="18"/>
  <c r="F14" i="18"/>
  <c r="F12" i="14"/>
  <c r="F8" i="13"/>
  <c r="N8" i="13" s="1"/>
  <c r="F14" i="16"/>
  <c r="F12" i="13" l="1"/>
  <c r="N12" i="13" s="1"/>
  <c r="N8" i="19"/>
  <c r="F14" i="19"/>
  <c r="S12" i="11"/>
  <c r="L12" i="11" s="1"/>
  <c r="N12" i="11" s="1"/>
  <c r="P12" i="11" s="1"/>
  <c r="B7" i="9"/>
  <c r="S11" i="29"/>
  <c r="L11" i="29" s="1"/>
  <c r="N11" i="29" s="1"/>
  <c r="P11" i="29" s="1"/>
  <c r="S12" i="12"/>
  <c r="L12" i="12" s="1"/>
  <c r="N12" i="12" s="1"/>
  <c r="P12" i="12" s="1"/>
  <c r="S11" i="11"/>
  <c r="L11" i="11" s="1"/>
  <c r="N11" i="11" s="1"/>
  <c r="P11" i="11" s="1"/>
  <c r="S12" i="10"/>
  <c r="L12" i="10" s="1"/>
  <c r="N12" i="10" s="1"/>
  <c r="P12" i="10" s="1"/>
  <c r="S11" i="12"/>
  <c r="L11" i="12" s="1"/>
  <c r="N11" i="12" s="1"/>
  <c r="P11" i="12" s="1"/>
  <c r="S12" i="29"/>
  <c r="L12" i="29" s="1"/>
  <c r="N12" i="29" s="1"/>
  <c r="P12" i="29" s="1"/>
  <c r="S11" i="10"/>
  <c r="L11" i="10" s="1"/>
  <c r="N11" i="10" s="1"/>
  <c r="P11" i="10" s="1"/>
  <c r="F14" i="13" l="1"/>
  <c r="D9" i="11"/>
  <c r="D10" i="10"/>
  <c r="D10" i="29"/>
  <c r="D9" i="29"/>
  <c r="S9" i="29" s="1"/>
  <c r="L9" i="29" s="1"/>
  <c r="D10" i="12"/>
  <c r="D9" i="12"/>
  <c r="D9" i="10"/>
  <c r="S9" i="10" s="1"/>
  <c r="L9" i="10" s="1"/>
  <c r="D10" i="11"/>
  <c r="S10" i="11" s="1"/>
  <c r="L10" i="11" s="1"/>
  <c r="N10" i="11" s="1"/>
  <c r="P10" i="11" s="1"/>
  <c r="S9" i="12"/>
  <c r="L9" i="12" s="1"/>
  <c r="S10" i="12"/>
  <c r="L10" i="12" s="1"/>
  <c r="N10" i="12" s="1"/>
  <c r="P10" i="12" s="1"/>
  <c r="S10" i="10"/>
  <c r="L10" i="10" s="1"/>
  <c r="N10" i="10" s="1"/>
  <c r="P10" i="10" s="1"/>
  <c r="S10" i="29"/>
  <c r="L10" i="29" s="1"/>
  <c r="N10" i="29" s="1"/>
  <c r="P10" i="29" s="1"/>
  <c r="S9" i="11"/>
  <c r="L9" i="11" s="1"/>
  <c r="N9" i="29" l="1"/>
  <c r="L14" i="29"/>
  <c r="N9" i="11"/>
  <c r="L14" i="11"/>
  <c r="F21" i="9" s="1"/>
  <c r="F25" i="9" s="1"/>
  <c r="L14" i="10"/>
  <c r="D21" i="9" s="1"/>
  <c r="N9" i="10"/>
  <c r="N9" i="12"/>
  <c r="L14" i="12"/>
  <c r="H21" i="9" s="1"/>
  <c r="H25" i="9" s="1"/>
  <c r="H28" i="9" l="1"/>
  <c r="D44" i="5"/>
  <c r="G40" i="8"/>
  <c r="L21" i="9"/>
  <c r="D25" i="9"/>
  <c r="N14" i="12"/>
  <c r="P9" i="12"/>
  <c r="P14" i="12" s="1"/>
  <c r="P9" i="10"/>
  <c r="P14" i="10" s="1"/>
  <c r="N14" i="10"/>
  <c r="D43" i="5"/>
  <c r="G38" i="8"/>
  <c r="F28" i="9"/>
  <c r="P9" i="11"/>
  <c r="P14" i="11" s="1"/>
  <c r="N14" i="11"/>
  <c r="J21" i="9"/>
  <c r="J25" i="9" s="1"/>
  <c r="P9" i="29"/>
  <c r="P14" i="29" s="1"/>
  <c r="N14" i="29"/>
  <c r="D9" i="27" l="1"/>
  <c r="E9" i="27"/>
  <c r="D13" i="27" s="1"/>
  <c r="D10" i="27"/>
  <c r="E10" i="27"/>
  <c r="D14" i="27" s="1"/>
  <c r="L25" i="9"/>
  <c r="G34" i="8"/>
  <c r="D42" i="5"/>
  <c r="D28" i="9"/>
  <c r="G36" i="8"/>
  <c r="D45" i="5"/>
  <c r="J16" i="9"/>
  <c r="L12" i="9"/>
  <c r="E11" i="27" l="1"/>
  <c r="D11" i="27"/>
  <c r="D8" i="27"/>
  <c r="E12" i="27" s="1"/>
  <c r="E8" i="27"/>
  <c r="D12" i="27" s="1"/>
  <c r="I9" i="27"/>
  <c r="E13" i="27"/>
  <c r="I13" i="27" s="1"/>
  <c r="E14" i="27"/>
  <c r="I10" i="27"/>
  <c r="I14" i="27"/>
  <c r="J28" i="9"/>
  <c r="L28" i="9" s="1"/>
  <c r="G35" i="8"/>
  <c r="L16" i="9"/>
  <c r="D15" i="27"/>
  <c r="K13" i="27" l="1"/>
  <c r="L13" i="27" s="1"/>
  <c r="I11" i="27"/>
  <c r="E15" i="27"/>
  <c r="I15" i="27"/>
  <c r="K14" i="27"/>
  <c r="L14" i="27" s="1"/>
  <c r="K9" i="27"/>
  <c r="L9" i="27" s="1"/>
  <c r="K10" i="27"/>
  <c r="L10" i="27" s="1"/>
  <c r="I8" i="27"/>
  <c r="E16" i="27"/>
  <c r="I12" i="27"/>
  <c r="K12" i="27" l="1"/>
  <c r="L12" i="27" s="1"/>
  <c r="K15" i="27"/>
  <c r="L15" i="27" s="1"/>
  <c r="K8" i="27"/>
  <c r="L8" i="27" s="1"/>
  <c r="D16" i="27"/>
  <c r="I16" i="27" s="1"/>
  <c r="K11" i="27"/>
  <c r="L11" i="27" s="1"/>
  <c r="L16" i="27" l="1"/>
  <c r="J16" i="27"/>
  <c r="K16" i="27"/>
  <c r="J9" i="27"/>
  <c r="J15" i="27"/>
  <c r="J8" i="27"/>
  <c r="J10" i="27"/>
  <c r="J13" i="27"/>
  <c r="J12" i="27"/>
  <c r="J11" i="27"/>
  <c r="J14" i="27"/>
</calcChain>
</file>

<file path=xl/sharedStrings.xml><?xml version="1.0" encoding="utf-8"?>
<sst xmlns="http://schemas.openxmlformats.org/spreadsheetml/2006/main" count="704" uniqueCount="351">
  <si>
    <t>User Input</t>
  </si>
  <si>
    <t>Model Key</t>
  </si>
  <si>
    <t>Headers</t>
  </si>
  <si>
    <t>Numbers</t>
  </si>
  <si>
    <t>Information</t>
  </si>
  <si>
    <t>Report header</t>
  </si>
  <si>
    <t>Opening balance calculation</t>
  </si>
  <si>
    <t>Information cell</t>
  </si>
  <si>
    <t>Input cell</t>
  </si>
  <si>
    <t>Hyperlink</t>
  </si>
  <si>
    <t>Section title</t>
  </si>
  <si>
    <t>Output total</t>
  </si>
  <si>
    <t>TB Linked</t>
  </si>
  <si>
    <t>Formula in cell</t>
  </si>
  <si>
    <t>Macro Linked</t>
  </si>
  <si>
    <t>List</t>
  </si>
  <si>
    <t>Title</t>
  </si>
  <si>
    <t>Check Cell</t>
  </si>
  <si>
    <t>Output header</t>
  </si>
  <si>
    <t>Explanatory</t>
  </si>
  <si>
    <t>Reporting periods (months)</t>
  </si>
  <si>
    <t>Reporting month</t>
  </si>
  <si>
    <t>Month Number</t>
  </si>
  <si>
    <t>Prior period</t>
  </si>
  <si>
    <t>Final reporting month</t>
  </si>
  <si>
    <t>Report name</t>
  </si>
  <si>
    <t>Client Name</t>
  </si>
  <si>
    <t>Demo Company</t>
  </si>
  <si>
    <t>Update Date &amp; Links</t>
  </si>
  <si>
    <t>Prior Year End</t>
  </si>
  <si>
    <t>Engagement Team</t>
  </si>
  <si>
    <t>Model Set Up</t>
  </si>
  <si>
    <t>Initials Preparer</t>
  </si>
  <si>
    <t>Charge out rate</t>
  </si>
  <si>
    <t>Initials Review</t>
  </si>
  <si>
    <t>Initials Partner</t>
  </si>
  <si>
    <t>XXX</t>
  </si>
  <si>
    <t>QW</t>
  </si>
  <si>
    <t>ER</t>
  </si>
  <si>
    <t>TY</t>
  </si>
  <si>
    <t>Macro Data</t>
  </si>
  <si>
    <t>Email Data</t>
  </si>
  <si>
    <t>Subject</t>
  </si>
  <si>
    <t>Body</t>
  </si>
  <si>
    <t>Time stamp preparer</t>
  </si>
  <si>
    <t>Time stamp manager</t>
  </si>
  <si>
    <t>Client email</t>
  </si>
  <si>
    <t>To Email</t>
  </si>
  <si>
    <t>firstname.lastname@accountants.co.uk</t>
  </si>
  <si>
    <t>firstname.lastname@clientcomp.co.uk</t>
  </si>
  <si>
    <t>From</t>
  </si>
  <si>
    <t>To</t>
  </si>
  <si>
    <t>Alex</t>
  </si>
  <si>
    <t>Joe</t>
  </si>
  <si>
    <t>Manager Review email</t>
  </si>
  <si>
    <t>Partner Review email</t>
  </si>
  <si>
    <t>Emma</t>
  </si>
  <si>
    <t>Sam</t>
  </si>
  <si>
    <t>Concat</t>
  </si>
  <si>
    <t>subject=</t>
  </si>
  <si>
    <t>body=</t>
  </si>
  <si>
    <t>mailto:</t>
  </si>
  <si>
    <t>cc=</t>
  </si>
  <si>
    <t>Cc Email</t>
  </si>
  <si>
    <t>Control</t>
  </si>
  <si>
    <t>Company Information</t>
  </si>
  <si>
    <t>Folder Information</t>
  </si>
  <si>
    <t>Prior folder</t>
  </si>
  <si>
    <t>Current folder</t>
  </si>
  <si>
    <t>Key</t>
  </si>
  <si>
    <t>Upload TB</t>
  </si>
  <si>
    <t>Complete WP</t>
  </si>
  <si>
    <t>Upload JNLs to Xero</t>
  </si>
  <si>
    <t>Review</t>
  </si>
  <si>
    <t>Review points email</t>
  </si>
  <si>
    <t>File Start</t>
  </si>
  <si>
    <t>Trial Balance Upload</t>
  </si>
  <si>
    <t>Account</t>
  </si>
  <si>
    <t>Account Type</t>
  </si>
  <si>
    <t>Debit</t>
  </si>
  <si>
    <t>Credit</t>
  </si>
  <si>
    <t>200</t>
  </si>
  <si>
    <t>Sales</t>
  </si>
  <si>
    <t>Revenue</t>
  </si>
  <si>
    <t>300</t>
  </si>
  <si>
    <t>Purchases</t>
  </si>
  <si>
    <t>Direct Costs</t>
  </si>
  <si>
    <t>400</t>
  </si>
  <si>
    <t>Advertising &amp; Marketing</t>
  </si>
  <si>
    <t>Overhead</t>
  </si>
  <si>
    <t>401</t>
  </si>
  <si>
    <t>Audit &amp; Accountancy fees</t>
  </si>
  <si>
    <t>404</t>
  </si>
  <si>
    <t>Bank Fees</t>
  </si>
  <si>
    <t>408</t>
  </si>
  <si>
    <t>Cleaning</t>
  </si>
  <si>
    <t>420</t>
  </si>
  <si>
    <t>Entertainment-100% business</t>
  </si>
  <si>
    <t>425</t>
  </si>
  <si>
    <t>Postage, Freight &amp; Courier</t>
  </si>
  <si>
    <t>429</t>
  </si>
  <si>
    <t>General Expenses</t>
  </si>
  <si>
    <t>445</t>
  </si>
  <si>
    <t>Light, Power, Heating</t>
  </si>
  <si>
    <t>449</t>
  </si>
  <si>
    <t>Motor Vehicle Expenses</t>
  </si>
  <si>
    <t>461</t>
  </si>
  <si>
    <t>Printing &amp; Stationery</t>
  </si>
  <si>
    <t>469</t>
  </si>
  <si>
    <t>Rent</t>
  </si>
  <si>
    <t>473</t>
  </si>
  <si>
    <t>Repairs &amp; Maintenance</t>
  </si>
  <si>
    <t>485</t>
  </si>
  <si>
    <t>Subscriptions</t>
  </si>
  <si>
    <t>489</t>
  </si>
  <si>
    <t>Telephone &amp; Internet</t>
  </si>
  <si>
    <t>493</t>
  </si>
  <si>
    <t>Travel - National</t>
  </si>
  <si>
    <t>090</t>
  </si>
  <si>
    <t>Bank</t>
  </si>
  <si>
    <t>610</t>
  </si>
  <si>
    <t>Accounts Receivable</t>
  </si>
  <si>
    <t>Current Asset</t>
  </si>
  <si>
    <t>710</t>
  </si>
  <si>
    <t>Office Equipment</t>
  </si>
  <si>
    <t>Fixed Asset</t>
  </si>
  <si>
    <t>720</t>
  </si>
  <si>
    <t>Computer Equipment</t>
  </si>
  <si>
    <t>800</t>
  </si>
  <si>
    <t>Accounts Payable</t>
  </si>
  <si>
    <t>Current Liability</t>
  </si>
  <si>
    <t>801</t>
  </si>
  <si>
    <t>Unpaid Expense Claims</t>
  </si>
  <si>
    <t>820</t>
  </si>
  <si>
    <t>VAT</t>
  </si>
  <si>
    <t>840</t>
  </si>
  <si>
    <t>Historical Adjustment</t>
  </si>
  <si>
    <t>960</t>
  </si>
  <si>
    <t>Retained Earnings</t>
  </si>
  <si>
    <t>Equity</t>
  </si>
  <si>
    <t>Total</t>
  </si>
  <si>
    <t>Code</t>
  </si>
  <si>
    <t>Points for manager</t>
  </si>
  <si>
    <t>plc hld</t>
  </si>
  <si>
    <t>Back up</t>
  </si>
  <si>
    <t>No.</t>
  </si>
  <si>
    <t>PFM1</t>
  </si>
  <si>
    <t>PFM2</t>
  </si>
  <si>
    <t>PFM3</t>
  </si>
  <si>
    <t>PFM4</t>
  </si>
  <si>
    <t>PFM5</t>
  </si>
  <si>
    <t>PFM6</t>
  </si>
  <si>
    <t>PFM7</t>
  </si>
  <si>
    <t>PFM8</t>
  </si>
  <si>
    <t>PFM9</t>
  </si>
  <si>
    <t>PFM10</t>
  </si>
  <si>
    <t>PFM11</t>
  </si>
  <si>
    <t>PFM12</t>
  </si>
  <si>
    <t>&lt;-Return Placeholders</t>
  </si>
  <si>
    <t>Manager Comments:</t>
  </si>
  <si>
    <t>Other Comments:</t>
  </si>
  <si>
    <t>Point for Manager:</t>
  </si>
  <si>
    <t>E2</t>
  </si>
  <si>
    <t>H1</t>
  </si>
  <si>
    <t>H2</t>
  </si>
  <si>
    <t>H3</t>
  </si>
  <si>
    <t>H4</t>
  </si>
  <si>
    <t>I1</t>
  </si>
  <si>
    <t>J1</t>
  </si>
  <si>
    <t>J2</t>
  </si>
  <si>
    <t>J3</t>
  </si>
  <si>
    <t>J4</t>
  </si>
  <si>
    <t>M1</t>
  </si>
  <si>
    <t>O1</t>
  </si>
  <si>
    <t>Preparer</t>
  </si>
  <si>
    <t>Manager</t>
  </si>
  <si>
    <t>Partner</t>
  </si>
  <si>
    <t>Time stamp partner</t>
  </si>
  <si>
    <t>Information Request</t>
  </si>
  <si>
    <t>Int</t>
  </si>
  <si>
    <t>Date</t>
  </si>
  <si>
    <t>Cost bfwd</t>
  </si>
  <si>
    <t>Disposals</t>
  </si>
  <si>
    <t>Total Cost</t>
  </si>
  <si>
    <t>Depn bfwd</t>
  </si>
  <si>
    <t xml:space="preserve">Depn </t>
  </si>
  <si>
    <t>Depn on disposals</t>
  </si>
  <si>
    <t>Total Depn</t>
  </si>
  <si>
    <t>E1</t>
  </si>
  <si>
    <t>Plant &amp; Machinery</t>
  </si>
  <si>
    <t>Fixtures &amp; Fittings</t>
  </si>
  <si>
    <t>E3</t>
  </si>
  <si>
    <t>E4</t>
  </si>
  <si>
    <t>E5</t>
  </si>
  <si>
    <t>Item</t>
  </si>
  <si>
    <t>Months TD</t>
  </si>
  <si>
    <t>Brought fwd</t>
  </si>
  <si>
    <t>Additions</t>
  </si>
  <si>
    <t>Carried fwd</t>
  </si>
  <si>
    <t>Charge</t>
  </si>
  <si>
    <t>Example item 1</t>
  </si>
  <si>
    <t>Example item 2</t>
  </si>
  <si>
    <t>Example item 3</t>
  </si>
  <si>
    <t>Example item 4</t>
  </si>
  <si>
    <t>Fully Depreciated</t>
  </si>
  <si>
    <t>Depreciation Date</t>
  </si>
  <si>
    <t>Trade Debtors</t>
  </si>
  <si>
    <t>Prepayments</t>
  </si>
  <si>
    <t>Other Debtors</t>
  </si>
  <si>
    <t>620</t>
  </si>
  <si>
    <t>805</t>
  </si>
  <si>
    <t>Accruals</t>
  </si>
  <si>
    <t>n/a</t>
  </si>
  <si>
    <t>TB Check</t>
  </si>
  <si>
    <t>Lead Schedule: Debtors</t>
  </si>
  <si>
    <t>Lead Schedule: Fixed Assets</t>
  </si>
  <si>
    <t>Lead Schedule: Creditors</t>
  </si>
  <si>
    <t>Lead Schedule: Payroll</t>
  </si>
  <si>
    <t>Lead Schedule: VAT</t>
  </si>
  <si>
    <t>Journals</t>
  </si>
  <si>
    <t>Index of N Section</t>
  </si>
  <si>
    <t>JNL</t>
  </si>
  <si>
    <t>N</t>
  </si>
  <si>
    <t>Debtors: Trade Debtors</t>
  </si>
  <si>
    <t>Debtors: Other Debtors</t>
  </si>
  <si>
    <t>Trade Debtors Report</t>
  </si>
  <si>
    <t>Per Trial Balance</t>
  </si>
  <si>
    <t>Difference</t>
  </si>
  <si>
    <t>H2-1</t>
  </si>
  <si>
    <t>Debtors: Prepayments</t>
  </si>
  <si>
    <t>Description</t>
  </si>
  <si>
    <t>Amount</t>
  </si>
  <si>
    <t>Start</t>
  </si>
  <si>
    <t>End</t>
  </si>
  <si>
    <t>Period T</t>
  </si>
  <si>
    <t>Period TD</t>
  </si>
  <si>
    <t>Movement</t>
  </si>
  <si>
    <t>Example item 5</t>
  </si>
  <si>
    <t>Example item 6</t>
  </si>
  <si>
    <t>Example item 7</t>
  </si>
  <si>
    <t>Example item 8</t>
  </si>
  <si>
    <t>Example item 9</t>
  </si>
  <si>
    <t>Example item 10</t>
  </si>
  <si>
    <t>Schedules</t>
  </si>
  <si>
    <t>Prepayment Date</t>
  </si>
  <si>
    <t>JNL'd</t>
  </si>
  <si>
    <t>H3-1</t>
  </si>
  <si>
    <t>H3-2</t>
  </si>
  <si>
    <t>H3-3</t>
  </si>
  <si>
    <t>Loans</t>
  </si>
  <si>
    <t>Accrued Income</t>
  </si>
  <si>
    <t>Lead Schedule: Bank</t>
  </si>
  <si>
    <t>Bank Account 1</t>
  </si>
  <si>
    <t>Banks Account 2</t>
  </si>
  <si>
    <t>Bank Account 3</t>
  </si>
  <si>
    <t>I2</t>
  </si>
  <si>
    <t>I3</t>
  </si>
  <si>
    <t>I4</t>
  </si>
  <si>
    <t>100</t>
  </si>
  <si>
    <t>110</t>
  </si>
  <si>
    <t>Business Bank Account 2</t>
  </si>
  <si>
    <t>Business Bank Account 3</t>
  </si>
  <si>
    <t>Business Bank Account 1</t>
  </si>
  <si>
    <t>Trade Creditors</t>
  </si>
  <si>
    <t>Other Creditors</t>
  </si>
  <si>
    <t>810</t>
  </si>
  <si>
    <t>J2-1</t>
  </si>
  <si>
    <t>Creditors: Accruals</t>
  </si>
  <si>
    <t>J3-1</t>
  </si>
  <si>
    <t>J3-2</t>
  </si>
  <si>
    <t>J3-3</t>
  </si>
  <si>
    <t>PAYE</t>
  </si>
  <si>
    <t>Pensions</t>
  </si>
  <si>
    <t>Creditors: Trade Creditors</t>
  </si>
  <si>
    <t>Creditors: Other Creditors</t>
  </si>
  <si>
    <t>Employment</t>
  </si>
  <si>
    <t>Employers</t>
  </si>
  <si>
    <t>Month</t>
  </si>
  <si>
    <t>Allowance</t>
  </si>
  <si>
    <t>EE NI</t>
  </si>
  <si>
    <t>Staff Pension</t>
  </si>
  <si>
    <t>EE No.</t>
  </si>
  <si>
    <t>Directors</t>
  </si>
  <si>
    <t>Staff</t>
  </si>
  <si>
    <t>Er NIC</t>
  </si>
  <si>
    <t>Pension</t>
  </si>
  <si>
    <t>Director ER NI</t>
  </si>
  <si>
    <t>OUTPUTS</t>
  </si>
  <si>
    <t>OUTPUT VAT</t>
  </si>
  <si>
    <t>INPUT VAT</t>
  </si>
  <si>
    <t>DUE/ (REPAYMENT)</t>
  </si>
  <si>
    <t>PAID/ (RECEIVED)</t>
  </si>
  <si>
    <t>Q1</t>
  </si>
  <si>
    <t>Q2</t>
  </si>
  <si>
    <t>Q3</t>
  </si>
  <si>
    <t>Q4</t>
  </si>
  <si>
    <t>DR</t>
  </si>
  <si>
    <t>CR</t>
  </si>
  <si>
    <t>Ref</t>
  </si>
  <si>
    <t>Get Description</t>
  </si>
  <si>
    <t>Narration</t>
  </si>
  <si>
    <t>Acc dep Office Equipment</t>
  </si>
  <si>
    <t>Acc dpn Plant &amp; Machinery</t>
  </si>
  <si>
    <t>Acc dpn Fixtures &amp; Fittings</t>
  </si>
  <si>
    <t>Acc dpn Computer Equipment</t>
  </si>
  <si>
    <t>730</t>
  </si>
  <si>
    <t>740</t>
  </si>
  <si>
    <t>711</t>
  </si>
  <si>
    <t>721</t>
  </si>
  <si>
    <t>731</t>
  </si>
  <si>
    <t>741</t>
  </si>
  <si>
    <t>Less Accumulated Depreciation on Office Equipment</t>
  </si>
  <si>
    <t>Less Accumulated Depreciation on Computer Equipment</t>
  </si>
  <si>
    <t>Less Accumulated Depreciation on Plant &amp; Machinery</t>
  </si>
  <si>
    <t>Less Accumulated Depreciation on Fixtures &amp; Fittings</t>
  </si>
  <si>
    <t>Depreciation Expense</t>
  </si>
  <si>
    <t>416</t>
  </si>
  <si>
    <t>Being depn charge</t>
  </si>
  <si>
    <t>Being prepayments</t>
  </si>
  <si>
    <t>Format for import</t>
  </si>
  <si>
    <t>Type</t>
  </si>
  <si>
    <t>Turnover Reconciliation</t>
  </si>
  <si>
    <t>Other income</t>
  </si>
  <si>
    <t>350</t>
  </si>
  <si>
    <t>Other Income</t>
  </si>
  <si>
    <t>VAT Reconciliation</t>
  </si>
  <si>
    <t>Reconciling item 1</t>
  </si>
  <si>
    <t>Reconciling item 2</t>
  </si>
  <si>
    <t>Being accruals</t>
  </si>
  <si>
    <t>Reference</t>
  </si>
  <si>
    <t>N1</t>
  </si>
  <si>
    <t>N2</t>
  </si>
  <si>
    <t>N3</t>
  </si>
  <si>
    <t>N4</t>
  </si>
  <si>
    <t>Trial Balance</t>
  </si>
  <si>
    <t>Profit &amp; Loss</t>
  </si>
  <si>
    <t>Balance Sheet</t>
  </si>
  <si>
    <t>General Ledger</t>
  </si>
  <si>
    <t>630</t>
  </si>
  <si>
    <t>640</t>
  </si>
  <si>
    <t>830</t>
  </si>
  <si>
    <t>Run TB and save in same location</t>
  </si>
  <si>
    <t>Name it "TB"</t>
  </si>
  <si>
    <t>Export &amp; Upload Journals</t>
  </si>
  <si>
    <t>Replace:</t>
  </si>
  <si>
    <t>With:</t>
  </si>
  <si>
    <t>Base path detailed here</t>
  </si>
  <si>
    <t>Sign Off</t>
  </si>
  <si>
    <t>Export &amp; ReUpload TB</t>
  </si>
  <si>
    <t>Roll Forward (Execute in order)</t>
  </si>
  <si>
    <t>Split into different workbooks for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</si>
</sst>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#;\(#,###\);\-"/>
    <numFmt numFmtId="165" formatCode="mmm\ yy"/>
    <numFmt numFmtId="166" formatCode="#,##0;\(#,##0\);\-"/>
    <numFmt numFmtId="167" formatCode="#,###.00;\(#,###.00\);\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</font>
    <font>
      <sz val="12"/>
      <color theme="3" tint="-0.499984740745262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Wingdings"/>
      <charset val="2"/>
    </font>
    <font>
      <u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404F7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7C80"/>
        <bgColor rgb="FFFF7C8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2" tint="-0.499984740745262"/>
      </top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0">
    <xf numFmtId="0" fontId="0" fillId="0" borderId="0"/>
    <xf numFmtId="164" fontId="2" fillId="2" borderId="1" applyAlignment="0" applyProtection="0"/>
    <xf numFmtId="0" fontId="3" fillId="3" borderId="2" applyNumberFormat="0" applyAlignment="0" applyProtection="0"/>
    <xf numFmtId="0" fontId="4" fillId="0" borderId="6" applyNumberFormat="0" applyFill="0" applyAlignment="0" applyProtection="0"/>
    <xf numFmtId="0" fontId="5" fillId="0" borderId="0" applyNumberFormat="0" applyFill="0" applyBorder="0" applyAlignment="0" applyProtection="0"/>
    <xf numFmtId="0" fontId="7" fillId="6" borderId="0"/>
    <xf numFmtId="14" fontId="1" fillId="4" borderId="3" applyFont="0" applyAlignment="0" applyProtection="0"/>
    <xf numFmtId="0" fontId="9" fillId="7" borderId="5" applyNumberFormat="0" applyAlignment="0" applyProtection="0"/>
    <xf numFmtId="164" fontId="1" fillId="5" borderId="4" applyAlignment="0" applyProtection="0"/>
    <xf numFmtId="0" fontId="10" fillId="8" borderId="5" applyAlignment="0" applyProtection="0">
      <alignment vertical="top"/>
      <protection locked="0"/>
    </xf>
    <xf numFmtId="164" fontId="1" fillId="4" borderId="3" applyFont="0" applyAlignment="0" applyProtection="0"/>
    <xf numFmtId="0" fontId="1" fillId="9" borderId="5"/>
    <xf numFmtId="0" fontId="1" fillId="10" borderId="5"/>
    <xf numFmtId="165" fontId="6" fillId="6" borderId="0"/>
    <xf numFmtId="164" fontId="11" fillId="11" borderId="0"/>
    <xf numFmtId="164" fontId="2" fillId="2" borderId="1" applyAlignment="0" applyProtection="0"/>
    <xf numFmtId="0" fontId="12" fillId="0" borderId="0"/>
    <xf numFmtId="166" fontId="13" fillId="12" borderId="5"/>
    <xf numFmtId="0" fontId="1" fillId="13" borderId="6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3" fillId="3" borderId="2" xfId="2" applyAlignment="1">
      <alignment horizontal="left"/>
    </xf>
    <xf numFmtId="0" fontId="1" fillId="13" borderId="6" xfId="18"/>
    <xf numFmtId="0" fontId="5" fillId="0" borderId="0" xfId="4"/>
    <xf numFmtId="164" fontId="1" fillId="4" borderId="3" xfId="10" applyFont="1"/>
    <xf numFmtId="0" fontId="14" fillId="0" borderId="0" xfId="0" applyFont="1"/>
    <xf numFmtId="0" fontId="12" fillId="0" borderId="0" xfId="0" applyFont="1"/>
    <xf numFmtId="0" fontId="7" fillId="6" borderId="0" xfId="5"/>
    <xf numFmtId="164" fontId="2" fillId="2" borderId="1" xfId="1"/>
    <xf numFmtId="0" fontId="4" fillId="0" borderId="6" xfId="3"/>
    <xf numFmtId="165" fontId="6" fillId="6" borderId="0" xfId="13"/>
    <xf numFmtId="0" fontId="10" fillId="8" borderId="5" xfId="9" applyAlignment="1" applyProtection="1"/>
    <xf numFmtId="0" fontId="12" fillId="0" borderId="0" xfId="16"/>
    <xf numFmtId="164" fontId="11" fillId="11" borderId="0" xfId="14"/>
    <xf numFmtId="166" fontId="13" fillId="12" borderId="5" xfId="17"/>
    <xf numFmtId="164" fontId="1" fillId="5" borderId="4" xfId="8"/>
    <xf numFmtId="0" fontId="1" fillId="10" borderId="5" xfId="12"/>
    <xf numFmtId="0" fontId="1" fillId="9" borderId="5" xfId="11" applyAlignment="1">
      <alignment horizontal="left" vertical="center"/>
    </xf>
    <xf numFmtId="0" fontId="1" fillId="13" borderId="6" xfId="18" applyAlignment="1">
      <alignment horizontal="left" vertical="center"/>
    </xf>
    <xf numFmtId="164" fontId="1" fillId="4" borderId="3" xfId="10" applyAlignment="1">
      <alignment horizontal="right"/>
    </xf>
    <xf numFmtId="14" fontId="1" fillId="4" borderId="3" xfId="6" applyAlignment="1">
      <alignment horizontal="right"/>
    </xf>
    <xf numFmtId="14" fontId="1" fillId="5" borderId="4" xfId="8" applyNumberFormat="1" applyAlignment="1">
      <alignment horizontal="right"/>
    </xf>
    <xf numFmtId="14" fontId="2" fillId="4" borderId="3" xfId="6" applyFont="1" applyAlignment="1">
      <alignment horizontal="right"/>
    </xf>
    <xf numFmtId="164" fontId="2" fillId="4" borderId="3" xfId="10" applyFont="1" applyAlignment="1">
      <alignment horizontal="right"/>
    </xf>
    <xf numFmtId="164" fontId="0" fillId="4" borderId="3" xfId="10" applyFont="1" applyAlignment="1">
      <alignment horizontal="right"/>
    </xf>
    <xf numFmtId="164" fontId="1" fillId="5" borderId="4" xfId="8" applyAlignment="1">
      <alignment horizontal="right"/>
    </xf>
    <xf numFmtId="0" fontId="0" fillId="0" borderId="0" xfId="0"/>
    <xf numFmtId="164" fontId="1" fillId="5" borderId="4" xfId="8" applyAlignment="1">
      <alignment horizontal="right" wrapText="1"/>
    </xf>
    <xf numFmtId="0" fontId="1" fillId="10" borderId="5" xfId="12" applyAlignment="1">
      <alignment wrapText="1"/>
    </xf>
    <xf numFmtId="164" fontId="15" fillId="4" borderId="3" xfId="10" applyFont="1" applyAlignment="1">
      <alignment vertical="center"/>
    </xf>
    <xf numFmtId="0" fontId="1" fillId="13" borderId="6" xfId="18" applyAlignment="1">
      <alignment vertical="center"/>
    </xf>
    <xf numFmtId="164" fontId="15" fillId="4" borderId="3" xfId="10" applyFont="1" applyAlignment="1">
      <alignment horizontal="right" vertical="center"/>
    </xf>
    <xf numFmtId="165" fontId="6" fillId="6" borderId="0" xfId="13" applyAlignment="1">
      <alignment wrapText="1"/>
    </xf>
    <xf numFmtId="0" fontId="7" fillId="6" borderId="0" xfId="5" applyAlignment="1">
      <alignment wrapText="1"/>
    </xf>
    <xf numFmtId="0" fontId="0" fillId="0" borderId="0" xfId="0" applyAlignment="1">
      <alignment wrapText="1"/>
    </xf>
    <xf numFmtId="0" fontId="16" fillId="0" borderId="0" xfId="0" applyFont="1" applyAlignment="1">
      <alignment horizontal="center" wrapText="1"/>
    </xf>
    <xf numFmtId="0" fontId="10" fillId="8" borderId="5" xfId="9" applyAlignment="1" applyProtection="1">
      <alignment horizontal="center"/>
    </xf>
    <xf numFmtId="164" fontId="1" fillId="4" borderId="3" xfId="10" applyFont="1" applyAlignment="1">
      <alignment wrapText="1"/>
    </xf>
    <xf numFmtId="164" fontId="0" fillId="4" borderId="3" xfId="10" applyFont="1" applyAlignment="1">
      <alignment wrapText="1"/>
    </xf>
    <xf numFmtId="0" fontId="17" fillId="8" borderId="5" xfId="9" applyFont="1" applyAlignment="1" applyProtection="1"/>
    <xf numFmtId="14" fontId="0" fillId="4" borderId="3" xfId="6" applyFont="1"/>
    <xf numFmtId="14" fontId="1" fillId="5" borderId="4" xfId="8" applyNumberFormat="1"/>
    <xf numFmtId="14" fontId="1" fillId="10" borderId="5" xfId="12" applyNumberFormat="1"/>
    <xf numFmtId="0" fontId="19" fillId="6" borderId="0" xfId="5" applyFont="1"/>
    <xf numFmtId="14" fontId="7" fillId="6" borderId="0" xfId="5" applyNumberFormat="1"/>
    <xf numFmtId="164" fontId="2" fillId="2" borderId="1" xfId="15"/>
    <xf numFmtId="164" fontId="0" fillId="0" borderId="0" xfId="0" applyNumberFormat="1"/>
    <xf numFmtId="164" fontId="0" fillId="4" borderId="3" xfId="10" applyFont="1"/>
    <xf numFmtId="9" fontId="0" fillId="4" borderId="3" xfId="19" applyFont="1" applyFill="1" applyBorder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14" fontId="1" fillId="10" borderId="5" xfId="12" applyNumberFormat="1" applyAlignment="1">
      <alignment horizontal="left"/>
    </xf>
    <xf numFmtId="0" fontId="0" fillId="0" borderId="0" xfId="0" quotePrefix="1"/>
    <xf numFmtId="164" fontId="0" fillId="4" borderId="3" xfId="10" quotePrefix="1" applyFont="1"/>
    <xf numFmtId="164" fontId="21" fillId="4" borderId="3" xfId="10" applyFont="1" applyAlignment="1">
      <alignment vertical="center"/>
    </xf>
    <xf numFmtId="167" fontId="3" fillId="3" borderId="2" xfId="2" applyNumberFormat="1" applyAlignment="1">
      <alignment horizontal="left"/>
    </xf>
    <xf numFmtId="166" fontId="3" fillId="3" borderId="2" xfId="2" applyNumberFormat="1" applyAlignment="1">
      <alignment horizontal="right"/>
    </xf>
    <xf numFmtId="0" fontId="3" fillId="3" borderId="2" xfId="2" applyAlignment="1">
      <alignment horizontal="center"/>
    </xf>
    <xf numFmtId="164" fontId="15" fillId="4" borderId="3" xfId="10" quotePrefix="1" applyFont="1" applyAlignment="1">
      <alignment vertical="center"/>
    </xf>
    <xf numFmtId="164" fontId="21" fillId="4" borderId="3" xfId="10" quotePrefix="1" applyFont="1" applyAlignment="1">
      <alignment vertical="center"/>
    </xf>
    <xf numFmtId="167" fontId="1" fillId="5" borderId="4" xfId="8" applyNumberFormat="1"/>
    <xf numFmtId="0" fontId="16" fillId="0" borderId="0" xfId="0" applyFont="1" applyAlignment="1">
      <alignment horizontal="center"/>
    </xf>
    <xf numFmtId="164" fontId="3" fillId="3" borderId="2" xfId="2" applyNumberFormat="1"/>
    <xf numFmtId="167" fontId="11" fillId="11" borderId="0" xfId="14" applyNumberFormat="1"/>
    <xf numFmtId="0" fontId="0" fillId="14" borderId="0" xfId="0" applyFill="1"/>
    <xf numFmtId="0" fontId="7" fillId="6" borderId="0" xfId="5" applyAlignment="1">
      <alignment horizontal="left"/>
    </xf>
    <xf numFmtId="14" fontId="0" fillId="0" borderId="0" xfId="0" applyNumberFormat="1"/>
    <xf numFmtId="167" fontId="0" fillId="0" borderId="0" xfId="0" applyNumberFormat="1"/>
    <xf numFmtId="167" fontId="3" fillId="3" borderId="2" xfId="2" applyNumberFormat="1"/>
    <xf numFmtId="0" fontId="8" fillId="6" borderId="0" xfId="5" applyFont="1" applyAlignment="1">
      <alignment horizontal="center" vertical="center"/>
    </xf>
    <xf numFmtId="164" fontId="1" fillId="5" borderId="4" xfId="8" applyAlignment="1">
      <alignment horizontal="left"/>
    </xf>
    <xf numFmtId="0" fontId="10" fillId="8" borderId="5" xfId="9" applyAlignment="1" applyProtection="1">
      <alignment horizontal="center"/>
    </xf>
    <xf numFmtId="0" fontId="1" fillId="13" borderId="6" xfId="18" applyAlignment="1">
      <alignment horizontal="center"/>
    </xf>
    <xf numFmtId="164" fontId="0" fillId="4" borderId="3" xfId="10" applyFont="1" applyAlignment="1">
      <alignment horizontal="center"/>
    </xf>
    <xf numFmtId="14" fontId="0" fillId="4" borderId="9" xfId="6" applyFont="1" applyBorder="1" applyAlignment="1">
      <alignment horizontal="center"/>
    </xf>
    <xf numFmtId="14" fontId="0" fillId="4" borderId="10" xfId="6" applyFont="1" applyBorder="1" applyAlignment="1">
      <alignment horizontal="center"/>
    </xf>
  </cellXfs>
  <cellStyles count="20">
    <cellStyle name="Check Cell" xfId="2" builtinId="23" customBuiltin="1"/>
    <cellStyle name="Date inp" xfId="6" xr:uid="{5A099A92-891A-4494-B6D1-65AB711C92FB}"/>
    <cellStyle name="Explanatory Text" xfId="4" builtinId="53"/>
    <cellStyle name="Followed Hyperlink" xfId="7" builtinId="9" customBuiltin="1"/>
    <cellStyle name="Formula" xfId="8" xr:uid="{6F9DA54A-DB8E-4440-A266-2315D416265A}"/>
    <cellStyle name="Header" xfId="5" xr:uid="{0C506F10-CB85-4860-8E18-3F794621B180}"/>
    <cellStyle name="Hyperlink" xfId="9" builtinId="8"/>
    <cellStyle name="Input" xfId="1" builtinId="20" customBuiltin="1"/>
    <cellStyle name="Inputs" xfId="10" xr:uid="{62FD54C8-EFD6-4EE9-930A-FD6E15B1874F}"/>
    <cellStyle name="List" xfId="11" xr:uid="{9767AE8F-0751-4688-908D-5E76EC51085D}"/>
    <cellStyle name="Macro Linked" xfId="12" xr:uid="{61C26F11-A799-4FD5-993E-220D884E2543}"/>
    <cellStyle name="Normal" xfId="0" builtinId="0"/>
    <cellStyle name="OPB" xfId="15" xr:uid="{FA95AB3C-B220-4F79-A495-EFB2446D07BD}"/>
    <cellStyle name="Ouput head" xfId="13" xr:uid="{0E4BA3DF-475D-4C77-8D9C-A67EB4FFC2AD}"/>
    <cellStyle name="Output total" xfId="14" xr:uid="{CC6260BC-A999-4100-8F34-C3A87CDED2C6}"/>
    <cellStyle name="Percent" xfId="19" builtinId="5"/>
    <cellStyle name="Sect Head" xfId="16" xr:uid="{4A71E9B0-3F1C-4975-8F13-704B7440EB00}"/>
    <cellStyle name="TB Linked" xfId="17" xr:uid="{2EFBC0A0-C540-43A7-92DF-5BE3CDE962E5}"/>
    <cellStyle name="Titles" xfId="18" xr:uid="{3548888F-D6D1-4E0C-B290-26EA80253579}"/>
    <cellStyle name="Warning Text" xfId="3" builtinId="11" customBuiltin="1"/>
  </cellStyles>
  <dxfs count="4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19" lockText="1" noThreeD="1"/>
</file>

<file path=xl/ctrlProps/ctrlProp3.xml><?xml version="1.0" encoding="utf-8"?>
<formControlPr xmlns="http://schemas.microsoft.com/office/spreadsheetml/2009/9/main" objectType="CheckBox" fmlaLink="$D$27" lockText="1" noThreeD="1"/>
</file>

<file path=xl/ctrlProps/ctrlProp4.xml><?xml version="1.0" encoding="utf-8"?>
<formControlPr xmlns="http://schemas.microsoft.com/office/spreadsheetml/2009/9/main" objectType="CheckBox" fmlaLink="$D$29" lockText="1" noThreeD="1"/>
</file>

<file path=xl/ctrlProps/ctrlProp5.xml><?xml version="1.0" encoding="utf-8"?>
<formControlPr xmlns="http://schemas.microsoft.com/office/spreadsheetml/2009/9/main" objectType="CheckBox" fmlaLink="$D$31" lockText="1" noThreeD="1"/>
</file>

<file path=xl/ctrlProps/ctrlProp6.xml><?xml version="1.0" encoding="utf-8"?>
<formControlPr xmlns="http://schemas.microsoft.com/office/spreadsheetml/2009/9/main" objectType="CheckBox" fmlaLink="$H$17" lockText="1" noThreeD="1"/>
</file>

<file path=xl/ctrlProps/ctrlProp7.xml><?xml version="1.0" encoding="utf-8"?>
<formControlPr xmlns="http://schemas.microsoft.com/office/spreadsheetml/2009/9/main" objectType="CheckBox" fmlaLink="$H$19" lockText="1" noThreeD="1"/>
</file>

<file path=xl/ctrlProps/ctrlProp8.xml><?xml version="1.0" encoding="utf-8"?>
<formControlPr xmlns="http://schemas.microsoft.com/office/spreadsheetml/2009/9/main" objectType="CheckBox" fmlaLink="$H$21" lockText="1" noThreeD="1"/>
</file>

<file path=xl/ctrlProps/ctrlProp9.xml><?xml version="1.0" encoding="utf-8"?>
<formControlPr xmlns="http://schemas.microsoft.com/office/spreadsheetml/2009/9/main" objectType="CheckBox" fmlaLink="$H$23" lockText="1" noThreeD="1"/>
</file>

<file path=xl/ctrlProps/ctrlProp10.xml><?xml version="1.0" encoding="utf-8"?>
<formControlPr xmlns="http://schemas.microsoft.com/office/spreadsheetml/2009/9/main" objectType="CheckBox" fmlaLink="$H$25" lockText="1" noThreeD="1"/>
</file>

<file path=xl/ctrlProps/ctrlProp11.xml><?xml version="1.0" encoding="utf-8"?>
<formControlPr xmlns="http://schemas.microsoft.com/office/spreadsheetml/2009/9/main" objectType="CheckBox" fmlaLink="$H$27" lockText="1" noThreeD="1"/>
</file>

<file path=xl/ctrlProps/ctrlProp12.xml><?xml version="1.0" encoding="utf-8"?>
<formControlPr xmlns="http://schemas.microsoft.com/office/spreadsheetml/2009/9/main" objectType="CheckBox" fmlaLink="$H$29" lockText="1" noThreeD="1"/>
</file>

<file path=xl/ctrlProps/ctrlProp13.xml><?xml version="1.0" encoding="utf-8"?>
<formControlPr xmlns="http://schemas.microsoft.com/office/spreadsheetml/2009/9/main" objectType="CheckBox" fmlaLink="$H$31" lockText="1" noThreeD="1"/>
</file>

<file path=xl/ctrlProps/ctrlProp14.xml><?xml version="1.0" encoding="utf-8"?>
<formControlPr xmlns="http://schemas.microsoft.com/office/spreadsheetml/2009/9/main" objectType="CheckBox" fmlaLink="MacroData!D7" lockText="1" noThreeD="1"/>
</file>

<file path=xl/ctrlProps/ctrlProp15.xml><?xml version="1.0" encoding="utf-8"?>
<formControlPr xmlns="http://schemas.microsoft.com/office/spreadsheetml/2009/9/main" objectType="CheckBox" fmlaLink="MacroData!D8" lockText="1" noThreeD="1"/>
</file>

<file path=xl/ctrlProps/ctrlProp16.xml><?xml version="1.0" encoding="utf-8"?>
<formControlPr xmlns="http://schemas.microsoft.com/office/spreadsheetml/2009/9/main" objectType="CheckBox" fmlaLink="MacroData!D9" lockText="1" noThreeD="1"/>
</file>

<file path=xl/ctrlProps/ctrlProp17.xml><?xml version="1.0" encoding="utf-8"?>
<formControlPr xmlns="http://schemas.microsoft.com/office/spreadsheetml/2009/9/main" objectType="CheckBox" fmlaLink="$D$21" lockText="1" noThreeD="1"/>
</file>

<file path=xl/ctrlProps/ctrlProp18.xml><?xml version="1.0" encoding="utf-8"?>
<formControlPr xmlns="http://schemas.microsoft.com/office/spreadsheetml/2009/9/main" objectType="CheckBox" fmlaLink="$D$23" lockText="1" noThreeD="1"/>
</file>

<file path=xl/ctrlProps/ctrlProp19.xml><?xml version="1.0" encoding="utf-8"?>
<formControlPr xmlns="http://schemas.microsoft.com/office/spreadsheetml/2009/9/main" objectType="CheckBox" fmlaLink="$D$25" lockText="1" noThreeD="1"/>
</file>

<file path=xl/ctrlProps/ctrlProp20.xml><?xml version="1.0" encoding="utf-8"?>
<formControlPr xmlns="http://schemas.microsoft.com/office/spreadsheetml/2009/9/main" objectType="CheckBox" fmlaLink="$D$17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C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95247</xdr:colOff>
      <xdr:row>4</xdr:row>
      <xdr:rowOff>161924</xdr:rowOff>
    </xdr:from>
    <xdr:to>
      <xdr:col>0</xdr:col>
      <xdr:colOff>455247</xdr:colOff>
      <xdr:row>6</xdr:row>
      <xdr:rowOff>93299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5247" y="1114424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/>
            <a:t>1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76200</xdr:rowOff>
        </xdr:from>
        <xdr:to>
          <xdr:col>2</xdr:col>
          <xdr:colOff>466725</xdr:colOff>
          <xdr:row>8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Links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142875</xdr:colOff>
      <xdr:row>13</xdr:row>
      <xdr:rowOff>114300</xdr:rowOff>
    </xdr:from>
    <xdr:to>
      <xdr:col>0</xdr:col>
      <xdr:colOff>502875</xdr:colOff>
      <xdr:row>15</xdr:row>
      <xdr:rowOff>45675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42875" y="2257425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>
    <xdr:from>
      <xdr:col>0</xdr:col>
      <xdr:colOff>161925</xdr:colOff>
      <xdr:row>32</xdr:row>
      <xdr:rowOff>142875</xdr:rowOff>
    </xdr:from>
    <xdr:to>
      <xdr:col>0</xdr:col>
      <xdr:colOff>521925</xdr:colOff>
      <xdr:row>34</xdr:row>
      <xdr:rowOff>74250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61925" y="3857625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4</a:t>
          </a:r>
        </a:p>
      </xdr:txBody>
    </xdr:sp>
    <xdr:clientData/>
  </xdr:twoCellAnchor>
  <xdr:twoCellAnchor>
    <xdr:from>
      <xdr:col>0</xdr:col>
      <xdr:colOff>152400</xdr:colOff>
      <xdr:row>40</xdr:row>
      <xdr:rowOff>123825</xdr:rowOff>
    </xdr:from>
    <xdr:to>
      <xdr:col>0</xdr:col>
      <xdr:colOff>512400</xdr:colOff>
      <xdr:row>42</xdr:row>
      <xdr:rowOff>55200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52400" y="4838700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5</a:t>
          </a:r>
        </a:p>
      </xdr:txBody>
    </xdr:sp>
    <xdr:clientData/>
  </xdr:twoCellAnchor>
  <xdr:twoCellAnchor>
    <xdr:from>
      <xdr:col>0</xdr:col>
      <xdr:colOff>152400</xdr:colOff>
      <xdr:row>43</xdr:row>
      <xdr:rowOff>114300</xdr:rowOff>
    </xdr:from>
    <xdr:to>
      <xdr:col>0</xdr:col>
      <xdr:colOff>512400</xdr:colOff>
      <xdr:row>45</xdr:row>
      <xdr:rowOff>45675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52400" y="6019800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6</a:t>
          </a:r>
        </a:p>
      </xdr:txBody>
    </xdr:sp>
    <xdr:clientData/>
  </xdr:twoCellAnchor>
  <xdr:twoCellAnchor>
    <xdr:from>
      <xdr:col>0</xdr:col>
      <xdr:colOff>161925</xdr:colOff>
      <xdr:row>48</xdr:row>
      <xdr:rowOff>123825</xdr:rowOff>
    </xdr:from>
    <xdr:to>
      <xdr:col>0</xdr:col>
      <xdr:colOff>521925</xdr:colOff>
      <xdr:row>50</xdr:row>
      <xdr:rowOff>55200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61925" y="6838950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7</a:t>
          </a:r>
        </a:p>
      </xdr:txBody>
    </xdr:sp>
    <xdr:clientData/>
  </xdr:twoCellAnchor>
  <xdr:twoCellAnchor>
    <xdr:from>
      <xdr:col>0</xdr:col>
      <xdr:colOff>171450</xdr:colOff>
      <xdr:row>51</xdr:row>
      <xdr:rowOff>133350</xdr:rowOff>
    </xdr:from>
    <xdr:to>
      <xdr:col>0</xdr:col>
      <xdr:colOff>531450</xdr:colOff>
      <xdr:row>53</xdr:row>
      <xdr:rowOff>64725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71450" y="7658100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8</a:t>
          </a:r>
        </a:p>
      </xdr:txBody>
    </xdr:sp>
    <xdr:clientData/>
  </xdr:twoCellAnchor>
  <xdr:twoCellAnchor>
    <xdr:from>
      <xdr:col>0</xdr:col>
      <xdr:colOff>152400</xdr:colOff>
      <xdr:row>59</xdr:row>
      <xdr:rowOff>104775</xdr:rowOff>
    </xdr:from>
    <xdr:to>
      <xdr:col>0</xdr:col>
      <xdr:colOff>512400</xdr:colOff>
      <xdr:row>61</xdr:row>
      <xdr:rowOff>36150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52400" y="11153775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9</a:t>
          </a:r>
        </a:p>
      </xdr:txBody>
    </xdr:sp>
    <xdr:clientData/>
  </xdr:twoCellAnchor>
  <xdr:twoCellAnchor>
    <xdr:from>
      <xdr:col>0</xdr:col>
      <xdr:colOff>152400</xdr:colOff>
      <xdr:row>64</xdr:row>
      <xdr:rowOff>114300</xdr:rowOff>
    </xdr:from>
    <xdr:to>
      <xdr:col>0</xdr:col>
      <xdr:colOff>512400</xdr:colOff>
      <xdr:row>66</xdr:row>
      <xdr:rowOff>45675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52400" y="12163425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17</xdr:row>
          <xdr:rowOff>180975</xdr:rowOff>
        </xdr:from>
        <xdr:to>
          <xdr:col>2</xdr:col>
          <xdr:colOff>400050</xdr:colOff>
          <xdr:row>19</xdr:row>
          <xdr:rowOff>19050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25</xdr:row>
          <xdr:rowOff>180975</xdr:rowOff>
        </xdr:from>
        <xdr:to>
          <xdr:col>2</xdr:col>
          <xdr:colOff>400050</xdr:colOff>
          <xdr:row>27</xdr:row>
          <xdr:rowOff>19050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27</xdr:row>
          <xdr:rowOff>180975</xdr:rowOff>
        </xdr:from>
        <xdr:to>
          <xdr:col>2</xdr:col>
          <xdr:colOff>400050</xdr:colOff>
          <xdr:row>29</xdr:row>
          <xdr:rowOff>19050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29</xdr:row>
          <xdr:rowOff>180975</xdr:rowOff>
        </xdr:from>
        <xdr:to>
          <xdr:col>2</xdr:col>
          <xdr:colOff>400050</xdr:colOff>
          <xdr:row>31</xdr:row>
          <xdr:rowOff>19050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15</xdr:row>
          <xdr:rowOff>180975</xdr:rowOff>
        </xdr:from>
        <xdr:to>
          <xdr:col>6</xdr:col>
          <xdr:colOff>400050</xdr:colOff>
          <xdr:row>17</xdr:row>
          <xdr:rowOff>19050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17</xdr:row>
          <xdr:rowOff>180975</xdr:rowOff>
        </xdr:from>
        <xdr:to>
          <xdr:col>6</xdr:col>
          <xdr:colOff>400050</xdr:colOff>
          <xdr:row>19</xdr:row>
          <xdr:rowOff>19050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19</xdr:row>
          <xdr:rowOff>180975</xdr:rowOff>
        </xdr:from>
        <xdr:to>
          <xdr:col>6</xdr:col>
          <xdr:colOff>400050</xdr:colOff>
          <xdr:row>21</xdr:row>
          <xdr:rowOff>19050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21</xdr:row>
          <xdr:rowOff>180975</xdr:rowOff>
        </xdr:from>
        <xdr:to>
          <xdr:col>6</xdr:col>
          <xdr:colOff>400050</xdr:colOff>
          <xdr:row>23</xdr:row>
          <xdr:rowOff>19050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23</xdr:row>
          <xdr:rowOff>180975</xdr:rowOff>
        </xdr:from>
        <xdr:to>
          <xdr:col>6</xdr:col>
          <xdr:colOff>400050</xdr:colOff>
          <xdr:row>25</xdr:row>
          <xdr:rowOff>19050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25</xdr:row>
          <xdr:rowOff>180975</xdr:rowOff>
        </xdr:from>
        <xdr:to>
          <xdr:col>6</xdr:col>
          <xdr:colOff>400050</xdr:colOff>
          <xdr:row>27</xdr:row>
          <xdr:rowOff>19050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27</xdr:row>
          <xdr:rowOff>180975</xdr:rowOff>
        </xdr:from>
        <xdr:to>
          <xdr:col>6</xdr:col>
          <xdr:colOff>400050</xdr:colOff>
          <xdr:row>29</xdr:row>
          <xdr:rowOff>19050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29</xdr:row>
          <xdr:rowOff>180975</xdr:rowOff>
        </xdr:from>
        <xdr:to>
          <xdr:col>6</xdr:col>
          <xdr:colOff>400050</xdr:colOff>
          <xdr:row>31</xdr:row>
          <xdr:rowOff>19050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61</xdr:row>
          <xdr:rowOff>171450</xdr:rowOff>
        </xdr:from>
        <xdr:to>
          <xdr:col>2</xdr:col>
          <xdr:colOff>438150</xdr:colOff>
          <xdr:row>63</xdr:row>
          <xdr:rowOff>19050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71</xdr:row>
          <xdr:rowOff>171450</xdr:rowOff>
        </xdr:from>
        <xdr:to>
          <xdr:col>2</xdr:col>
          <xdr:colOff>419100</xdr:colOff>
          <xdr:row>73</xdr:row>
          <xdr:rowOff>19050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73</xdr:row>
          <xdr:rowOff>161925</xdr:rowOff>
        </xdr:from>
        <xdr:to>
          <xdr:col>2</xdr:col>
          <xdr:colOff>419100</xdr:colOff>
          <xdr:row>75</xdr:row>
          <xdr:rowOff>9525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104772</xdr:colOff>
      <xdr:row>9</xdr:row>
      <xdr:rowOff>144111</xdr:rowOff>
    </xdr:from>
    <xdr:to>
      <xdr:col>0</xdr:col>
      <xdr:colOff>464772</xdr:colOff>
      <xdr:row>11</xdr:row>
      <xdr:rowOff>75486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4772" y="2096736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/>
            <a:t>2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19</xdr:row>
          <xdr:rowOff>180975</xdr:rowOff>
        </xdr:from>
        <xdr:to>
          <xdr:col>2</xdr:col>
          <xdr:colOff>400050</xdr:colOff>
          <xdr:row>21</xdr:row>
          <xdr:rowOff>19050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21</xdr:row>
          <xdr:rowOff>180975</xdr:rowOff>
        </xdr:from>
        <xdr:to>
          <xdr:col>2</xdr:col>
          <xdr:colOff>400050</xdr:colOff>
          <xdr:row>23</xdr:row>
          <xdr:rowOff>19050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23</xdr:row>
          <xdr:rowOff>180975</xdr:rowOff>
        </xdr:from>
        <xdr:to>
          <xdr:col>2</xdr:col>
          <xdr:colOff>400050</xdr:colOff>
          <xdr:row>25</xdr:row>
          <xdr:rowOff>19050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15</xdr:row>
          <xdr:rowOff>180975</xdr:rowOff>
        </xdr:from>
        <xdr:to>
          <xdr:col>2</xdr:col>
          <xdr:colOff>400050</xdr:colOff>
          <xdr:row>17</xdr:row>
          <xdr:rowOff>19050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37</xdr:row>
          <xdr:rowOff>123825</xdr:rowOff>
        </xdr:from>
        <xdr:to>
          <xdr:col>5</xdr:col>
          <xdr:colOff>38100</xdr:colOff>
          <xdr:row>39</xdr:row>
          <xdr:rowOff>66675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TB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</xdr:colOff>
      <xdr:row>41</xdr:row>
      <xdr:rowOff>133350</xdr:rowOff>
    </xdr:from>
    <xdr:to>
      <xdr:col>5</xdr:col>
      <xdr:colOff>142875</xdr:colOff>
      <xdr:row>41</xdr:row>
      <xdr:rowOff>133350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1809750" y="8515350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45</xdr:row>
          <xdr:rowOff>95250</xdr:rowOff>
        </xdr:from>
        <xdr:to>
          <xdr:col>5</xdr:col>
          <xdr:colOff>28575</xdr:colOff>
          <xdr:row>47</xdr:row>
          <xdr:rowOff>38100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Journals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104775</xdr:rowOff>
        </xdr:from>
        <xdr:to>
          <xdr:col>5</xdr:col>
          <xdr:colOff>38100</xdr:colOff>
          <xdr:row>58</xdr:row>
          <xdr:rowOff>47625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66</xdr:row>
          <xdr:rowOff>133350</xdr:rowOff>
        </xdr:from>
        <xdr:to>
          <xdr:col>5</xdr:col>
          <xdr:colOff>47625</xdr:colOff>
          <xdr:row>68</xdr:row>
          <xdr:rowOff>76200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561975</xdr:colOff>
      <xdr:row>8</xdr:row>
      <xdr:rowOff>9525</xdr:rowOff>
    </xdr:from>
    <xdr:to>
      <xdr:col>4</xdr:col>
      <xdr:colOff>476250</xdr:colOff>
      <xdr:row>8</xdr:row>
      <xdr:rowOff>9525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1752600" y="1771650"/>
          <a:ext cx="5238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69</xdr:row>
      <xdr:rowOff>123825</xdr:rowOff>
    </xdr:from>
    <xdr:to>
      <xdr:col>0</xdr:col>
      <xdr:colOff>512400</xdr:colOff>
      <xdr:row>71</xdr:row>
      <xdr:rowOff>55200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52400" y="13173075"/>
          <a:ext cx="360000" cy="36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/>
            <a:t>11</a:t>
          </a:r>
        </a:p>
      </xdr:txBody>
    </xdr:sp>
    <xdr:clientData/>
  </xdr:twoCellAnchor>
  <xdr:twoCellAnchor>
    <xdr:from>
      <xdr:col>0</xdr:col>
      <xdr:colOff>323850</xdr:colOff>
      <xdr:row>16</xdr:row>
      <xdr:rowOff>28575</xdr:rowOff>
    </xdr:from>
    <xdr:to>
      <xdr:col>0</xdr:col>
      <xdr:colOff>323850</xdr:colOff>
      <xdr:row>30</xdr:row>
      <xdr:rowOff>104775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323850" y="3409950"/>
          <a:ext cx="0" cy="2743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323853</xdr:colOff>
      <xdr:row>16</xdr:row>
      <xdr:rowOff>19054</xdr:rowOff>
    </xdr:from>
    <xdr:to>
      <xdr:col>4</xdr:col>
      <xdr:colOff>285755</xdr:colOff>
      <xdr:row>31</xdr:row>
      <xdr:rowOff>161930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 rot="5400000" flipH="1" flipV="1">
          <a:off x="-295271" y="4019553"/>
          <a:ext cx="3000376" cy="1762127"/>
        </a:xfrm>
        <a:prstGeom prst="bentConnector3">
          <a:avLst>
            <a:gd name="adj1" fmla="val 1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15</xdr:row>
      <xdr:rowOff>47625</xdr:rowOff>
    </xdr:from>
    <xdr:to>
      <xdr:col>8</xdr:col>
      <xdr:colOff>266700</xdr:colOff>
      <xdr:row>31</xdr:row>
      <xdr:rowOff>9525</xdr:rowOff>
    </xdr:to>
    <xdr:cxnSp macro="">
      <xdr:nvCxnSpPr>
        <xdr:cNvPr id="71" name="Connector: Elbow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CxnSpPr/>
      </xdr:nvCxnSpPr>
      <xdr:spPr>
        <a:xfrm rot="16200000" flipH="1">
          <a:off x="1514475" y="3867150"/>
          <a:ext cx="3009900" cy="1752600"/>
        </a:xfrm>
        <a:prstGeom prst="bentConnector3">
          <a:avLst>
            <a:gd name="adj1" fmla="val 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</xdr:row>
          <xdr:rowOff>0</xdr:rowOff>
        </xdr:from>
        <xdr:to>
          <xdr:col>1</xdr:col>
          <xdr:colOff>304800</xdr:colOff>
          <xdr:row>6</xdr:row>
          <xdr:rowOff>9525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../../Downloads/File%20Links/H2-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4200D-39DF-4344-A67D-E4C4928172BB}">
  <sheetPr codeName="Sheet1">
    <tabColor theme="7" tint="0.59999389629810485"/>
  </sheetPr>
  <dimension ref="A1:F17"/>
  <sheetViews>
    <sheetView showGridLines="0" tabSelected="1" workbookViewId="0"/>
  </sheetViews>
  <sheetFormatPr defaultRowHeight="15" x14ac:dyDescent="0.25"/>
  <cols>
    <col min="1" max="1" width="8.7109375" customWidth="1"/>
    <col min="2" max="2" width="26.7109375" customWidth="1"/>
    <col min="3" max="3" width="8.7109375" customWidth="1"/>
    <col min="4" max="4" width="26.7109375" customWidth="1"/>
    <col min="5" max="5" width="8.7109375" customWidth="1"/>
    <col min="6" max="6" width="26.7109375" customWidth="1"/>
  </cols>
  <sheetData>
    <row r="1" spans="1:6" s="7" customFormat="1" ht="18.75" x14ac:dyDescent="0.3">
      <c r="B1" s="7" t="str">
        <f>Name</f>
        <v>Demo Company</v>
      </c>
    </row>
    <row r="2" spans="1:6" s="7" customFormat="1" ht="18.75" x14ac:dyDescent="0.3">
      <c r="B2" s="7" t="str">
        <f>ReportName</f>
        <v>Management accounts for the period to 31 August 2021</v>
      </c>
    </row>
    <row r="3" spans="1:6" s="7" customFormat="1" ht="18.75" x14ac:dyDescent="0.3">
      <c r="B3" s="7" t="s">
        <v>69</v>
      </c>
    </row>
    <row r="4" spans="1:6" s="7" customFormat="1" ht="18.75" x14ac:dyDescent="0.3"/>
    <row r="7" spans="1:6" ht="18.75" x14ac:dyDescent="0.3">
      <c r="A7" s="6" t="s">
        <v>1</v>
      </c>
    </row>
    <row r="9" spans="1:6" ht="18.75" x14ac:dyDescent="0.3">
      <c r="B9" s="5" t="s">
        <v>2</v>
      </c>
      <c r="D9" s="5" t="s">
        <v>3</v>
      </c>
      <c r="F9" s="5" t="s">
        <v>4</v>
      </c>
    </row>
    <row r="11" spans="1:6" ht="20.100000000000001" customHeight="1" x14ac:dyDescent="0.3">
      <c r="B11" s="7" t="s">
        <v>5</v>
      </c>
      <c r="D11" s="8" t="s">
        <v>6</v>
      </c>
      <c r="F11" s="9" t="s">
        <v>7</v>
      </c>
    </row>
    <row r="12" spans="1:6" ht="20.100000000000001" customHeight="1" x14ac:dyDescent="0.25">
      <c r="B12" s="10" t="s">
        <v>18</v>
      </c>
      <c r="D12" s="4" t="s">
        <v>8</v>
      </c>
      <c r="F12" s="11" t="s">
        <v>9</v>
      </c>
    </row>
    <row r="13" spans="1:6" ht="20.100000000000001" customHeight="1" x14ac:dyDescent="0.3">
      <c r="B13" s="12" t="s">
        <v>10</v>
      </c>
      <c r="D13" s="13" t="s">
        <v>11</v>
      </c>
      <c r="F13" s="14" t="s">
        <v>12</v>
      </c>
    </row>
    <row r="14" spans="1:6" ht="20.100000000000001" customHeight="1" thickBot="1" x14ac:dyDescent="0.3">
      <c r="D14" s="15" t="s">
        <v>13</v>
      </c>
      <c r="F14" s="16" t="s">
        <v>14</v>
      </c>
    </row>
    <row r="15" spans="1:6" ht="20.100000000000001" customHeight="1" thickTop="1" thickBot="1" x14ac:dyDescent="0.3">
      <c r="D15" s="1" t="s">
        <v>17</v>
      </c>
      <c r="F15" s="17" t="s">
        <v>15</v>
      </c>
    </row>
    <row r="16" spans="1:6" ht="20.100000000000001" customHeight="1" thickTop="1" x14ac:dyDescent="0.25">
      <c r="F16" s="18" t="s">
        <v>16</v>
      </c>
    </row>
    <row r="17" spans="6:6" ht="20.100000000000001" customHeight="1" x14ac:dyDescent="0.25">
      <c r="F17" s="3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C4F9-A0E1-4051-A641-55ADD0D8E6E6}">
  <sheetPr codeName="Sheet2">
    <tabColor theme="8" tint="-0.499984740745262"/>
  </sheetPr>
  <dimension ref="D9:N17"/>
  <sheetViews>
    <sheetView showGridLines="0" workbookViewId="0"/>
  </sheetViews>
  <sheetFormatPr defaultColWidth="8.85546875" defaultRowHeight="15" x14ac:dyDescent="0.25"/>
  <sheetData>
    <row r="9" spans="4:14" x14ac:dyDescent="0.25">
      <c r="D9" s="70" t="s">
        <v>0</v>
      </c>
      <c r="E9" s="70"/>
      <c r="F9" s="70"/>
      <c r="G9" s="70"/>
      <c r="H9" s="70"/>
      <c r="I9" s="70"/>
      <c r="J9" s="70"/>
      <c r="K9" s="70"/>
      <c r="L9" s="70"/>
      <c r="M9" s="70"/>
      <c r="N9" s="70"/>
    </row>
    <row r="10" spans="4:14" x14ac:dyDescent="0.25"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</row>
    <row r="11" spans="4:14" x14ac:dyDescent="0.25"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</row>
    <row r="12" spans="4:14" x14ac:dyDescent="0.25"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</row>
    <row r="13" spans="4:14" x14ac:dyDescent="0.25"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</row>
    <row r="14" spans="4:14" x14ac:dyDescent="0.25"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</row>
    <row r="15" spans="4:14" x14ac:dyDescent="0.25"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</row>
    <row r="16" spans="4:14" x14ac:dyDescent="0.25"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4:14" x14ac:dyDescent="0.25"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</row>
  </sheetData>
  <mergeCells count="1">
    <mergeCell ref="D9:N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6AC1D-1D79-4490-B9E6-EC44AD710B52}">
  <sheetPr codeName="Sheet3">
    <tabColor theme="7" tint="0.59999389629810485"/>
  </sheetPr>
  <dimension ref="A1:C58"/>
  <sheetViews>
    <sheetView showGridLines="0" workbookViewId="0"/>
  </sheetViews>
  <sheetFormatPr defaultRowHeight="15" x14ac:dyDescent="0.25"/>
  <cols>
    <col min="1" max="1" width="3.7109375" customWidth="1"/>
    <col min="2" max="2" width="27.5703125" customWidth="1"/>
    <col min="3" max="3" width="54.5703125" bestFit="1" customWidth="1"/>
  </cols>
  <sheetData>
    <row r="1" spans="1:3" s="7" customFormat="1" ht="18.75" x14ac:dyDescent="0.3">
      <c r="A1" s="10"/>
      <c r="B1" s="7" t="str">
        <f>Name</f>
        <v>Demo Company</v>
      </c>
    </row>
    <row r="2" spans="1:3" s="7" customFormat="1" ht="18.75" x14ac:dyDescent="0.3">
      <c r="A2" s="10"/>
      <c r="B2" s="7" t="str">
        <f>ReportName</f>
        <v>Management accounts for the period to 31 August 2021</v>
      </c>
    </row>
    <row r="3" spans="1:3" s="7" customFormat="1" ht="18.75" x14ac:dyDescent="0.3">
      <c r="A3" s="10"/>
      <c r="B3" s="7" t="s">
        <v>31</v>
      </c>
    </row>
    <row r="4" spans="1:3" s="7" customFormat="1" ht="18.75" x14ac:dyDescent="0.3">
      <c r="A4" s="10"/>
    </row>
    <row r="6" spans="1:3" ht="18.75" x14ac:dyDescent="0.3">
      <c r="A6" s="12" t="s">
        <v>65</v>
      </c>
    </row>
    <row r="7" spans="1:3" x14ac:dyDescent="0.25">
      <c r="B7" s="2" t="s">
        <v>26</v>
      </c>
      <c r="C7" s="19" t="s">
        <v>27</v>
      </c>
    </row>
    <row r="8" spans="1:3" x14ac:dyDescent="0.25">
      <c r="B8" s="2" t="s">
        <v>29</v>
      </c>
      <c r="C8" s="20">
        <v>44196</v>
      </c>
    </row>
    <row r="9" spans="1:3" x14ac:dyDescent="0.25">
      <c r="B9" s="2" t="s">
        <v>20</v>
      </c>
      <c r="C9" s="19">
        <v>12</v>
      </c>
    </row>
    <row r="10" spans="1:3" x14ac:dyDescent="0.25">
      <c r="B10" s="2" t="s">
        <v>21</v>
      </c>
      <c r="C10" s="21">
        <f>Control!B7</f>
        <v>44439</v>
      </c>
    </row>
    <row r="11" spans="1:3" x14ac:dyDescent="0.25">
      <c r="B11" s="2" t="s">
        <v>22</v>
      </c>
      <c r="C11" s="15">
        <f>ROUND(_xlfn.DAYS(ReportingMonth,YE0)/30.5,0)</f>
        <v>8</v>
      </c>
    </row>
    <row r="12" spans="1:3" x14ac:dyDescent="0.25">
      <c r="B12" s="2" t="s">
        <v>23</v>
      </c>
      <c r="C12" s="21">
        <f>EOMONTH(ReportingMonth,-1)</f>
        <v>44408</v>
      </c>
    </row>
    <row r="13" spans="1:3" x14ac:dyDescent="0.25">
      <c r="B13" s="2" t="s">
        <v>24</v>
      </c>
      <c r="C13" s="21">
        <f>EOMONTH(C8,C9)</f>
        <v>44561</v>
      </c>
    </row>
    <row r="14" spans="1:3" x14ac:dyDescent="0.25">
      <c r="B14" s="2" t="s">
        <v>25</v>
      </c>
      <c r="C14" s="21" t="str">
        <f>"Management accounts for the period to "&amp;TEXT(ReportingMonth,"dd mmmm yyyy")</f>
        <v>Management accounts for the period to 31 August 2021</v>
      </c>
    </row>
    <row r="16" spans="1:3" ht="18.75" x14ac:dyDescent="0.3">
      <c r="A16" s="12" t="s">
        <v>30</v>
      </c>
    </row>
    <row r="17" spans="1:3" x14ac:dyDescent="0.25">
      <c r="B17" s="2" t="s">
        <v>32</v>
      </c>
      <c r="C17" s="22" t="s">
        <v>37</v>
      </c>
    </row>
    <row r="18" spans="1:3" x14ac:dyDescent="0.25">
      <c r="B18" s="2" t="s">
        <v>33</v>
      </c>
      <c r="C18" s="23" t="s">
        <v>36</v>
      </c>
    </row>
    <row r="19" spans="1:3" x14ac:dyDescent="0.25">
      <c r="B19" s="2" t="s">
        <v>34</v>
      </c>
      <c r="C19" s="22" t="s">
        <v>38</v>
      </c>
    </row>
    <row r="20" spans="1:3" x14ac:dyDescent="0.25">
      <c r="B20" s="2" t="s">
        <v>33</v>
      </c>
      <c r="C20" s="23" t="s">
        <v>36</v>
      </c>
    </row>
    <row r="21" spans="1:3" x14ac:dyDescent="0.25">
      <c r="B21" s="2" t="s">
        <v>35</v>
      </c>
      <c r="C21" s="22" t="s">
        <v>39</v>
      </c>
    </row>
    <row r="22" spans="1:3" x14ac:dyDescent="0.25">
      <c r="B22" s="2" t="s">
        <v>33</v>
      </c>
      <c r="C22" s="23" t="s">
        <v>36</v>
      </c>
    </row>
    <row r="24" spans="1:3" ht="18.75" x14ac:dyDescent="0.3">
      <c r="A24" s="12" t="s">
        <v>41</v>
      </c>
    </row>
    <row r="25" spans="1:3" x14ac:dyDescent="0.25">
      <c r="B25" s="10" t="s">
        <v>54</v>
      </c>
      <c r="C25" s="10"/>
    </row>
    <row r="26" spans="1:3" s="26" customFormat="1" x14ac:dyDescent="0.25">
      <c r="B26" s="2" t="s">
        <v>51</v>
      </c>
      <c r="C26" s="24" t="s">
        <v>52</v>
      </c>
    </row>
    <row r="27" spans="1:3" s="26" customFormat="1" x14ac:dyDescent="0.25">
      <c r="B27" s="2" t="s">
        <v>50</v>
      </c>
      <c r="C27" s="24" t="s">
        <v>57</v>
      </c>
    </row>
    <row r="28" spans="1:3" x14ac:dyDescent="0.25">
      <c r="B28" s="2" t="s">
        <v>47</v>
      </c>
      <c r="C28" s="24" t="s">
        <v>48</v>
      </c>
    </row>
    <row r="29" spans="1:3" x14ac:dyDescent="0.25">
      <c r="B29" s="2" t="s">
        <v>42</v>
      </c>
      <c r="C29" s="25" t="str">
        <f>"Ready for Review - "&amp;Name&amp;" - "&amp;TEXT(ReportingMonth,"mmm yy")</f>
        <v>Ready for Review - Demo Company - Aug 21</v>
      </c>
    </row>
    <row r="30" spans="1:3" ht="30" x14ac:dyDescent="0.25">
      <c r="B30" s="2" t="s">
        <v>43</v>
      </c>
      <c r="C30" s="27" t="str">
        <f>"Hey "&amp;C26&amp;",__That is "&amp;Name&amp;" for "&amp;TEXT(ReportingMonth,"mmmm")&amp;" ready to review.__Thanks,__"&amp;C27</f>
        <v>Hey Alex,__That is Demo Company for August ready to review.__Thanks,__Sam</v>
      </c>
    </row>
    <row r="32" spans="1:3" s="26" customFormat="1" x14ac:dyDescent="0.25">
      <c r="B32" s="10" t="s">
        <v>74</v>
      </c>
      <c r="C32" s="10"/>
    </row>
    <row r="33" spans="2:3" s="26" customFormat="1" x14ac:dyDescent="0.25">
      <c r="B33" s="2" t="s">
        <v>51</v>
      </c>
      <c r="C33" s="24" t="s">
        <v>57</v>
      </c>
    </row>
    <row r="34" spans="2:3" s="26" customFormat="1" x14ac:dyDescent="0.25">
      <c r="B34" s="2" t="s">
        <v>50</v>
      </c>
      <c r="C34" s="24" t="s">
        <v>52</v>
      </c>
    </row>
    <row r="35" spans="2:3" s="26" customFormat="1" x14ac:dyDescent="0.25">
      <c r="B35" s="2" t="s">
        <v>47</v>
      </c>
      <c r="C35" s="24" t="s">
        <v>48</v>
      </c>
    </row>
    <row r="36" spans="2:3" s="26" customFormat="1" x14ac:dyDescent="0.25">
      <c r="B36" s="2" t="s">
        <v>63</v>
      </c>
      <c r="C36" s="24" t="s">
        <v>48</v>
      </c>
    </row>
    <row r="37" spans="2:3" s="26" customFormat="1" x14ac:dyDescent="0.25">
      <c r="B37" s="2" t="s">
        <v>42</v>
      </c>
      <c r="C37" s="25" t="str">
        <f>"Review Points - "&amp;Name&amp;" - "&amp;TEXT(ReportingMonth,"mmm yy")</f>
        <v>Review Points - Demo Company - Aug 21</v>
      </c>
    </row>
    <row r="38" spans="2:3" s="26" customFormat="1" ht="30" x14ac:dyDescent="0.25">
      <c r="B38" s="2" t="s">
        <v>43</v>
      </c>
      <c r="C38" s="27" t="str">
        <f>"Hey "&amp;C33&amp;",__I have reviewed the "&amp;Name&amp;"  file.__Let me know if you have any questions.__Thanks__"&amp;C34</f>
        <v>Hey Sam,__I have reviewed the Demo Company  file.__Let me know if you have any questions.__Thanks__Alex</v>
      </c>
    </row>
    <row r="39" spans="2:3" s="26" customFormat="1" x14ac:dyDescent="0.25"/>
    <row r="40" spans="2:3" s="26" customFormat="1" x14ac:dyDescent="0.25">
      <c r="B40" s="10" t="s">
        <v>55</v>
      </c>
      <c r="C40" s="10"/>
    </row>
    <row r="41" spans="2:3" s="26" customFormat="1" x14ac:dyDescent="0.25">
      <c r="B41" s="2" t="s">
        <v>51</v>
      </c>
      <c r="C41" s="24" t="s">
        <v>56</v>
      </c>
    </row>
    <row r="42" spans="2:3" s="26" customFormat="1" x14ac:dyDescent="0.25">
      <c r="B42" s="2" t="s">
        <v>50</v>
      </c>
      <c r="C42" s="24" t="s">
        <v>52</v>
      </c>
    </row>
    <row r="43" spans="2:3" s="26" customFormat="1" x14ac:dyDescent="0.25">
      <c r="B43" s="2" t="s">
        <v>47</v>
      </c>
      <c r="C43" s="24" t="s">
        <v>48</v>
      </c>
    </row>
    <row r="44" spans="2:3" s="26" customFormat="1" x14ac:dyDescent="0.25">
      <c r="B44" s="2" t="s">
        <v>63</v>
      </c>
      <c r="C44" s="24" t="s">
        <v>48</v>
      </c>
    </row>
    <row r="45" spans="2:3" s="26" customFormat="1" x14ac:dyDescent="0.25">
      <c r="B45" s="2" t="s">
        <v>42</v>
      </c>
      <c r="C45" s="25" t="str">
        <f>"Partner Review - "&amp;Name&amp;" - "&amp;TEXT(ReportingMonth,"mmm yy")</f>
        <v>Partner Review - Demo Company - Aug 21</v>
      </c>
    </row>
    <row r="46" spans="2:3" s="26" customFormat="1" ht="30" x14ac:dyDescent="0.25">
      <c r="B46" s="2" t="s">
        <v>43</v>
      </c>
      <c r="C46" s="27" t="str">
        <f>"Hi "&amp;C41&amp;",__The "&amp;Name&amp;", for "&amp;TEXT(ReportingMonth,"mmmm")&amp;", is now ready for your review.__Thanks,__"&amp;C42</f>
        <v>Hi Emma,__The Demo Company, for August, is now ready for your review.__Thanks,__Alex</v>
      </c>
    </row>
    <row r="47" spans="2:3" s="26" customFormat="1" x14ac:dyDescent="0.25"/>
    <row r="48" spans="2:3" s="26" customFormat="1" x14ac:dyDescent="0.25">
      <c r="B48" s="10" t="s">
        <v>46</v>
      </c>
      <c r="C48" s="10"/>
    </row>
    <row r="49" spans="1:3" s="26" customFormat="1" x14ac:dyDescent="0.25">
      <c r="B49" s="2" t="s">
        <v>51</v>
      </c>
      <c r="C49" s="24" t="s">
        <v>53</v>
      </c>
    </row>
    <row r="50" spans="1:3" s="26" customFormat="1" x14ac:dyDescent="0.25">
      <c r="B50" s="2" t="s">
        <v>50</v>
      </c>
      <c r="C50" s="24" t="s">
        <v>57</v>
      </c>
    </row>
    <row r="51" spans="1:3" x14ac:dyDescent="0.25">
      <c r="B51" s="2" t="s">
        <v>47</v>
      </c>
      <c r="C51" s="24" t="s">
        <v>49</v>
      </c>
    </row>
    <row r="52" spans="1:3" s="26" customFormat="1" x14ac:dyDescent="0.25">
      <c r="B52" s="2" t="s">
        <v>63</v>
      </c>
      <c r="C52" s="24" t="s">
        <v>48</v>
      </c>
    </row>
    <row r="53" spans="1:3" x14ac:dyDescent="0.25">
      <c r="B53" s="2" t="s">
        <v>42</v>
      </c>
      <c r="C53" s="25" t="str">
        <f>TEXT(ReportingMonth,"mmmm")&amp;" information request"</f>
        <v>August information request</v>
      </c>
    </row>
    <row r="54" spans="1:3" ht="30" x14ac:dyDescent="0.25">
      <c r="B54" s="2" t="s">
        <v>43</v>
      </c>
      <c r="C54" s="27" t="str">
        <f>"Hi "&amp;C49&amp;",__Please could you send through the invoices for the current reporting month ("&amp;TEXT(ReportingMonth,"mmmm")&amp;").__Thanks,__"&amp;C50</f>
        <v>Hi Joe,__Please could you send through the invoices for the current reporting month (August).__Thanks,__Sam</v>
      </c>
    </row>
    <row r="56" spans="1:3" ht="18.75" x14ac:dyDescent="0.3">
      <c r="A56" s="12" t="s">
        <v>66</v>
      </c>
    </row>
    <row r="57" spans="1:3" x14ac:dyDescent="0.25">
      <c r="B57" s="2" t="s">
        <v>67</v>
      </c>
      <c r="C57" s="15" t="str">
        <f>MONTH(ReportingMonth)-1&amp;". "&amp;TEXT(EOMONTH(ReportingMonth,-1),"mmmm yyyy")</f>
        <v>7. July 2021</v>
      </c>
    </row>
    <row r="58" spans="1:3" x14ac:dyDescent="0.25">
      <c r="B58" s="2" t="s">
        <v>68</v>
      </c>
      <c r="C58" s="15" t="str">
        <f>MONTH(ReportingMonth)&amp;". "&amp;TEXT(EOMONTH(ReportingMonth,0),"mmmm yyyy")</f>
        <v>8. August 2021</v>
      </c>
    </row>
  </sheetData>
  <sheetProtection algorithmName="SHA-512" hashValue="TMgN1hTGkKrRN67BQw59BKvWYHf/jyGASb8IpCZV9a8GdFRqxXM4iKSlD/6yq8eV11knuqzhfMfkqb4qgRA9zg==" saltValue="RPpqF5NPeX7PtoYPqo5Do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FC71A-5E03-4418-8537-BC90A1F3A302}">
  <sheetPr codeName="Sheet5">
    <tabColor theme="7" tint="0.59999389629810485"/>
  </sheetPr>
  <dimension ref="B1:Q75"/>
  <sheetViews>
    <sheetView showGridLines="0" zoomScaleNormal="100" workbookViewId="0"/>
  </sheetViews>
  <sheetFormatPr defaultRowHeight="15" x14ac:dyDescent="0.25"/>
  <cols>
    <col min="1" max="1" width="8.7109375" customWidth="1"/>
    <col min="4" max="4" width="9.140625" hidden="1" customWidth="1"/>
    <col min="7" max="7" width="9.140625" customWidth="1"/>
    <col min="8" max="8" width="0" hidden="1" customWidth="1"/>
  </cols>
  <sheetData>
    <row r="1" spans="2:17" s="7" customFormat="1" ht="18.75" x14ac:dyDescent="0.3">
      <c r="B1" s="7" t="str">
        <f>Name</f>
        <v>Demo Company</v>
      </c>
    </row>
    <row r="2" spans="2:17" s="7" customFormat="1" ht="18.75" x14ac:dyDescent="0.3">
      <c r="B2" s="7" t="str">
        <f>ReportName</f>
        <v>Management accounts for the period to 31 August 2021</v>
      </c>
    </row>
    <row r="3" spans="2:17" s="7" customFormat="1" ht="18.75" x14ac:dyDescent="0.3">
      <c r="B3" s="7" t="s">
        <v>64</v>
      </c>
    </row>
    <row r="4" spans="2:17" s="7" customFormat="1" ht="18.75" x14ac:dyDescent="0.3"/>
    <row r="5" spans="2:17" s="26" customFormat="1" x14ac:dyDescent="0.25"/>
    <row r="6" spans="2:17" s="26" customFormat="1" ht="18.75" x14ac:dyDescent="0.3">
      <c r="B6" s="12" t="s">
        <v>28</v>
      </c>
    </row>
    <row r="7" spans="2:17" s="26" customFormat="1" x14ac:dyDescent="0.25">
      <c r="B7" s="75">
        <v>44439</v>
      </c>
      <c r="C7" s="76"/>
      <c r="F7" s="72" t="s">
        <v>346</v>
      </c>
      <c r="G7" s="72"/>
      <c r="H7" s="72"/>
      <c r="I7" s="72"/>
    </row>
    <row r="8" spans="2:17" s="26" customFormat="1" x14ac:dyDescent="0.25">
      <c r="F8" s="2" t="s">
        <v>344</v>
      </c>
      <c r="G8" s="71" t="str">
        <f>PriorFolder</f>
        <v>7. July 2021</v>
      </c>
      <c r="H8" s="71"/>
      <c r="I8" s="71"/>
    </row>
    <row r="9" spans="2:17" s="26" customFormat="1" x14ac:dyDescent="0.25">
      <c r="F9" s="2" t="s">
        <v>345</v>
      </c>
      <c r="G9" s="71" t="str">
        <f>CurrentFolder</f>
        <v>8. August 2021</v>
      </c>
      <c r="H9" s="71"/>
      <c r="I9" s="71"/>
    </row>
    <row r="10" spans="2:17" s="26" customFormat="1" x14ac:dyDescent="0.25"/>
    <row r="11" spans="2:17" s="26" customFormat="1" ht="18.75" x14ac:dyDescent="0.3">
      <c r="B11" s="12" t="s">
        <v>178</v>
      </c>
    </row>
    <row r="12" spans="2:17" s="26" customFormat="1" x14ac:dyDescent="0.25">
      <c r="B12" s="72" t="str">
        <f>HYPERLINK(MacroData!C36,"Email")</f>
        <v>Email</v>
      </c>
      <c r="C12" s="72"/>
    </row>
    <row r="13" spans="2:17" s="26" customFormat="1" x14ac:dyDescent="0.25"/>
    <row r="15" spans="2:17" ht="18.75" x14ac:dyDescent="0.3">
      <c r="B15" s="12" t="s">
        <v>349</v>
      </c>
      <c r="O15" s="26"/>
      <c r="P15" s="26"/>
      <c r="Q15" s="26"/>
    </row>
    <row r="17" spans="2:8" x14ac:dyDescent="0.25">
      <c r="B17" s="2" t="s">
        <v>188</v>
      </c>
      <c r="C17" s="16"/>
      <c r="D17" s="16"/>
      <c r="F17" s="2" t="s">
        <v>166</v>
      </c>
      <c r="G17" s="16"/>
      <c r="H17" s="16"/>
    </row>
    <row r="18" spans="2:8" x14ac:dyDescent="0.25">
      <c r="F18" s="26"/>
      <c r="G18" s="26"/>
      <c r="H18" s="26"/>
    </row>
    <row r="19" spans="2:8" x14ac:dyDescent="0.25">
      <c r="B19" s="2" t="s">
        <v>162</v>
      </c>
      <c r="C19" s="16"/>
      <c r="D19" s="16" t="b">
        <v>0</v>
      </c>
      <c r="F19" s="2" t="s">
        <v>167</v>
      </c>
      <c r="G19" s="16"/>
      <c r="H19" s="16"/>
    </row>
    <row r="20" spans="2:8" s="26" customFormat="1" x14ac:dyDescent="0.25"/>
    <row r="21" spans="2:8" s="26" customFormat="1" x14ac:dyDescent="0.25">
      <c r="B21" s="2" t="s">
        <v>191</v>
      </c>
      <c r="C21" s="16"/>
      <c r="D21" s="16"/>
      <c r="F21" s="2" t="s">
        <v>168</v>
      </c>
      <c r="G21" s="16"/>
      <c r="H21" s="16"/>
    </row>
    <row r="22" spans="2:8" s="26" customFormat="1" x14ac:dyDescent="0.25">
      <c r="F22"/>
      <c r="G22"/>
      <c r="H22"/>
    </row>
    <row r="23" spans="2:8" s="26" customFormat="1" x14ac:dyDescent="0.25">
      <c r="B23" s="2" t="s">
        <v>192</v>
      </c>
      <c r="C23" s="16"/>
      <c r="D23" s="16"/>
      <c r="F23" s="2" t="s">
        <v>169</v>
      </c>
      <c r="G23" s="16"/>
      <c r="H23" s="16"/>
    </row>
    <row r="24" spans="2:8" s="26" customFormat="1" x14ac:dyDescent="0.25"/>
    <row r="25" spans="2:8" s="26" customFormat="1" x14ac:dyDescent="0.25">
      <c r="B25" s="2" t="s">
        <v>193</v>
      </c>
      <c r="C25" s="16"/>
      <c r="D25" s="16"/>
      <c r="F25" s="2" t="s">
        <v>170</v>
      </c>
      <c r="G25" s="16"/>
      <c r="H25" s="16"/>
    </row>
    <row r="26" spans="2:8" s="26" customFormat="1" x14ac:dyDescent="0.25"/>
    <row r="27" spans="2:8" x14ac:dyDescent="0.25">
      <c r="B27" s="2" t="s">
        <v>163</v>
      </c>
      <c r="C27" s="16"/>
      <c r="D27" s="16"/>
      <c r="F27" s="2" t="s">
        <v>171</v>
      </c>
      <c r="G27" s="16"/>
      <c r="H27" s="16"/>
    </row>
    <row r="28" spans="2:8" x14ac:dyDescent="0.25">
      <c r="B28" s="26"/>
      <c r="C28" s="26"/>
      <c r="D28" s="26"/>
      <c r="F28" s="26"/>
      <c r="G28" s="26"/>
      <c r="H28" s="26"/>
    </row>
    <row r="29" spans="2:8" s="26" customFormat="1" x14ac:dyDescent="0.25">
      <c r="B29" s="2" t="s">
        <v>164</v>
      </c>
      <c r="C29" s="16"/>
      <c r="D29" s="16"/>
      <c r="F29" s="2" t="s">
        <v>172</v>
      </c>
      <c r="G29" s="16"/>
      <c r="H29" s="16"/>
    </row>
    <row r="30" spans="2:8" s="26" customFormat="1" x14ac:dyDescent="0.25"/>
    <row r="31" spans="2:8" s="26" customFormat="1" x14ac:dyDescent="0.25">
      <c r="B31" s="2" t="s">
        <v>165</v>
      </c>
      <c r="C31" s="16"/>
      <c r="D31" s="16"/>
      <c r="F31" s="2" t="s">
        <v>173</v>
      </c>
      <c r="G31" s="16"/>
      <c r="H31" s="16"/>
    </row>
    <row r="32" spans="2:8" s="26" customFormat="1" x14ac:dyDescent="0.25"/>
    <row r="34" spans="2:6" ht="18.75" x14ac:dyDescent="0.3">
      <c r="B34" s="12" t="s">
        <v>70</v>
      </c>
    </row>
    <row r="36" spans="2:6" x14ac:dyDescent="0.25">
      <c r="B36" s="73" t="s">
        <v>341</v>
      </c>
      <c r="C36" s="73"/>
      <c r="D36" s="73"/>
      <c r="E36" s="73"/>
      <c r="F36" s="73"/>
    </row>
    <row r="37" spans="2:6" x14ac:dyDescent="0.25">
      <c r="B37" s="74" t="s">
        <v>342</v>
      </c>
      <c r="C37" s="74"/>
      <c r="D37" s="74"/>
      <c r="E37" s="74"/>
      <c r="F37" s="74"/>
    </row>
    <row r="38" spans="2:6" s="26" customFormat="1" x14ac:dyDescent="0.25"/>
    <row r="39" spans="2:6" s="26" customFormat="1" x14ac:dyDescent="0.25"/>
    <row r="40" spans="2:6" s="26" customFormat="1" x14ac:dyDescent="0.25"/>
    <row r="42" spans="2:6" ht="18.75" x14ac:dyDescent="0.3">
      <c r="B42" s="12" t="s">
        <v>71</v>
      </c>
    </row>
    <row r="45" spans="2:6" ht="18.75" x14ac:dyDescent="0.3">
      <c r="B45" s="12" t="s">
        <v>343</v>
      </c>
    </row>
    <row r="47" spans="2:6" s="26" customFormat="1" x14ac:dyDescent="0.25"/>
    <row r="48" spans="2:6" s="26" customFormat="1" x14ac:dyDescent="0.25"/>
    <row r="50" spans="2:6" ht="18.75" x14ac:dyDescent="0.3">
      <c r="B50" s="12" t="s">
        <v>72</v>
      </c>
    </row>
    <row r="53" spans="2:6" ht="18.75" x14ac:dyDescent="0.3">
      <c r="B53" s="12" t="s">
        <v>348</v>
      </c>
    </row>
    <row r="55" spans="2:6" s="26" customFormat="1" x14ac:dyDescent="0.25">
      <c r="B55" s="73" t="s">
        <v>341</v>
      </c>
      <c r="C55" s="73"/>
      <c r="D55" s="73"/>
      <c r="E55" s="73"/>
      <c r="F55" s="73"/>
    </row>
    <row r="56" spans="2:6" s="26" customFormat="1" x14ac:dyDescent="0.25">
      <c r="B56" s="74" t="s">
        <v>342</v>
      </c>
      <c r="C56" s="74"/>
      <c r="D56" s="74"/>
      <c r="E56" s="74"/>
      <c r="F56" s="74"/>
    </row>
    <row r="57" spans="2:6" s="26" customFormat="1" x14ac:dyDescent="0.25"/>
    <row r="58" spans="2:6" s="26" customFormat="1" x14ac:dyDescent="0.25"/>
    <row r="59" spans="2:6" s="26" customFormat="1" x14ac:dyDescent="0.25"/>
    <row r="60" spans="2:6" s="26" customFormat="1" x14ac:dyDescent="0.25"/>
    <row r="61" spans="2:6" s="26" customFormat="1" ht="18.75" x14ac:dyDescent="0.3">
      <c r="B61" s="12" t="s">
        <v>347</v>
      </c>
    </row>
    <row r="62" spans="2:6" s="26" customFormat="1" x14ac:dyDescent="0.25"/>
    <row r="63" spans="2:6" x14ac:dyDescent="0.25">
      <c r="B63" s="2" t="s">
        <v>174</v>
      </c>
      <c r="C63" s="16"/>
      <c r="E63" s="11" t="str">
        <f>HYPERLINK(MacroData!C16,"Email")</f>
        <v>Email</v>
      </c>
    </row>
    <row r="64" spans="2:6" s="26" customFormat="1" x14ac:dyDescent="0.25"/>
    <row r="66" spans="2:5" ht="18.75" x14ac:dyDescent="0.3">
      <c r="B66" s="12" t="s">
        <v>350</v>
      </c>
    </row>
    <row r="68" spans="2:5" s="26" customFormat="1" x14ac:dyDescent="0.25"/>
    <row r="69" spans="2:5" s="26" customFormat="1" x14ac:dyDescent="0.25"/>
    <row r="71" spans="2:5" ht="18.75" x14ac:dyDescent="0.3">
      <c r="B71" s="12" t="s">
        <v>73</v>
      </c>
    </row>
    <row r="73" spans="2:5" x14ac:dyDescent="0.25">
      <c r="B73" s="2" t="s">
        <v>175</v>
      </c>
      <c r="C73" s="16"/>
      <c r="E73" s="11" t="str">
        <f>HYPERLINK(MacroData!C22,"Email")</f>
        <v>Email</v>
      </c>
    </row>
    <row r="75" spans="2:5" x14ac:dyDescent="0.25">
      <c r="B75" s="2" t="s">
        <v>176</v>
      </c>
      <c r="C75" s="16"/>
      <c r="E75" s="11" t="str">
        <f>HYPERLINK(MacroData!C29,"Email")</f>
        <v>Email</v>
      </c>
    </row>
  </sheetData>
  <mergeCells count="9">
    <mergeCell ref="G9:I9"/>
    <mergeCell ref="G8:I8"/>
    <mergeCell ref="F7:I7"/>
    <mergeCell ref="B55:F55"/>
    <mergeCell ref="B56:F56"/>
    <mergeCell ref="B37:F37"/>
    <mergeCell ref="B7:C7"/>
    <mergeCell ref="B12:C12"/>
    <mergeCell ref="B36:F36"/>
  </mergeCells>
  <hyperlinks>
    <hyperlink ref="F7:I7" location="PriorFolder" display="Base path detailed here" xr:uid="{4AFBB003-4CE0-4C56-93FF-046BBCAED93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placeHyperlinks">
                <anchor moveWithCells="1" sizeWithCells="1">
                  <from>
                    <xdr:col>1</xdr:col>
                    <xdr:colOff>38100</xdr:colOff>
                    <xdr:row>7</xdr:row>
                    <xdr:rowOff>76200</xdr:rowOff>
                  </from>
                  <to>
                    <xdr:col>2</xdr:col>
                    <xdr:colOff>466725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17</xdr:row>
                    <xdr:rowOff>180975</xdr:rowOff>
                  </from>
                  <to>
                    <xdr:col>2</xdr:col>
                    <xdr:colOff>400050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Check Box 14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25</xdr:row>
                    <xdr:rowOff>180975</xdr:rowOff>
                  </from>
                  <to>
                    <xdr:col>2</xdr:col>
                    <xdr:colOff>400050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Check Box 15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27</xdr:row>
                    <xdr:rowOff>180975</xdr:rowOff>
                  </from>
                  <to>
                    <xdr:col>2</xdr:col>
                    <xdr:colOff>400050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8" name="Check Box 16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29</xdr:row>
                    <xdr:rowOff>180975</xdr:rowOff>
                  </from>
                  <to>
                    <xdr:col>2</xdr:col>
                    <xdr:colOff>400050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9" name="Check Box 17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15</xdr:row>
                    <xdr:rowOff>180975</xdr:rowOff>
                  </from>
                  <to>
                    <xdr:col>6</xdr:col>
                    <xdr:colOff>400050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0" name="Check Box 18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17</xdr:row>
                    <xdr:rowOff>180975</xdr:rowOff>
                  </from>
                  <to>
                    <xdr:col>6</xdr:col>
                    <xdr:colOff>400050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Check Box 19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19</xdr:row>
                    <xdr:rowOff>180975</xdr:rowOff>
                  </from>
                  <to>
                    <xdr:col>6</xdr:col>
                    <xdr:colOff>400050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2" name="Check Box 20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21</xdr:row>
                    <xdr:rowOff>180975</xdr:rowOff>
                  </from>
                  <to>
                    <xdr:col>6</xdr:col>
                    <xdr:colOff>400050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3" name="Check Box 21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23</xdr:row>
                    <xdr:rowOff>180975</xdr:rowOff>
                  </from>
                  <to>
                    <xdr:col>6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Check Box 22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25</xdr:row>
                    <xdr:rowOff>180975</xdr:rowOff>
                  </from>
                  <to>
                    <xdr:col>6</xdr:col>
                    <xdr:colOff>400050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Check Box 23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27</xdr:row>
                    <xdr:rowOff>180975</xdr:rowOff>
                  </from>
                  <to>
                    <xdr:col>6</xdr:col>
                    <xdr:colOff>400050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6" name="Check Box 24">
              <controlPr defaultSize="0" autoFill="0" autoLine="0" autoPict="0" macro="[0]!RollFwd">
                <anchor moveWithCells="1">
                  <from>
                    <xdr:col>6</xdr:col>
                    <xdr:colOff>190500</xdr:colOff>
                    <xdr:row>29</xdr:row>
                    <xdr:rowOff>180975</xdr:rowOff>
                  </from>
                  <to>
                    <xdr:col>6</xdr:col>
                    <xdr:colOff>400050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7" name="Check Box 25">
              <controlPr defaultSize="0" autoFill="0" autoLine="0" autoPict="0" macro="[0]!CheckBox1_Click">
                <anchor moveWithCells="1">
                  <from>
                    <xdr:col>2</xdr:col>
                    <xdr:colOff>190500</xdr:colOff>
                    <xdr:row>61</xdr:row>
                    <xdr:rowOff>171450</xdr:rowOff>
                  </from>
                  <to>
                    <xdr:col>2</xdr:col>
                    <xdr:colOff>438150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8" name="Check Box 26">
              <controlPr defaultSize="0" autoFill="0" autoLine="0" autoPict="0" macro="[0]!CheckBox2_Click">
                <anchor moveWithCells="1">
                  <from>
                    <xdr:col>2</xdr:col>
                    <xdr:colOff>171450</xdr:colOff>
                    <xdr:row>71</xdr:row>
                    <xdr:rowOff>171450</xdr:rowOff>
                  </from>
                  <to>
                    <xdr:col>2</xdr:col>
                    <xdr:colOff>419100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9" name="Check Box 27">
              <controlPr defaultSize="0" autoFill="0" autoLine="0" autoPict="0" macro="[0]!CheckBox3_Click">
                <anchor moveWithCells="1">
                  <from>
                    <xdr:col>2</xdr:col>
                    <xdr:colOff>171450</xdr:colOff>
                    <xdr:row>73</xdr:row>
                    <xdr:rowOff>161925</xdr:rowOff>
                  </from>
                  <to>
                    <xdr:col>2</xdr:col>
                    <xdr:colOff>419100</xdr:colOff>
                    <xdr:row>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0" name="Check Box 32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19</xdr:row>
                    <xdr:rowOff>180975</xdr:rowOff>
                  </from>
                  <to>
                    <xdr:col>2</xdr:col>
                    <xdr:colOff>400050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1" name="Check Box 33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21</xdr:row>
                    <xdr:rowOff>180975</xdr:rowOff>
                  </from>
                  <to>
                    <xdr:col>2</xdr:col>
                    <xdr:colOff>400050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2" name="Check Box 34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23</xdr:row>
                    <xdr:rowOff>180975</xdr:rowOff>
                  </from>
                  <to>
                    <xdr:col>2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3" name="Check Box 35">
              <controlPr defaultSize="0" autoFill="0" autoLine="0" autoPict="0" macro="[0]!RollFwd">
                <anchor moveWithCells="1">
                  <from>
                    <xdr:col>2</xdr:col>
                    <xdr:colOff>190500</xdr:colOff>
                    <xdr:row>15</xdr:row>
                    <xdr:rowOff>180975</xdr:rowOff>
                  </from>
                  <to>
                    <xdr:col>2</xdr:col>
                    <xdr:colOff>400050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4" name="Button 36">
              <controlPr defaultSize="0" print="0" autoFill="0" autoPict="0" macro="[0]!ImportTB">
                <anchor moveWithCells="1" sizeWithCells="1">
                  <from>
                    <xdr:col>1</xdr:col>
                    <xdr:colOff>9525</xdr:colOff>
                    <xdr:row>37</xdr:row>
                    <xdr:rowOff>123825</xdr:rowOff>
                  </from>
                  <to>
                    <xdr:col>5</xdr:col>
                    <xdr:colOff>38100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5" name="Button 37">
              <controlPr defaultSize="0" print="0" autoFill="0" autoPict="0" macro="[0]!ExportUpload">
                <anchor moveWithCells="1" sizeWithCells="1">
                  <from>
                    <xdr:col>1</xdr:col>
                    <xdr:colOff>28575</xdr:colOff>
                    <xdr:row>45</xdr:row>
                    <xdr:rowOff>95250</xdr:rowOff>
                  </from>
                  <to>
                    <xdr:col>5</xdr:col>
                    <xdr:colOff>28575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6" name="Button 38">
              <controlPr defaultSize="0" print="0" autoFill="0" autoPict="0" macro="[0]!ImportTB">
                <anchor moveWithCells="1" sizeWithCells="1">
                  <from>
                    <xdr:col>1</xdr:col>
                    <xdr:colOff>9525</xdr:colOff>
                    <xdr:row>56</xdr:row>
                    <xdr:rowOff>104775</xdr:rowOff>
                  </from>
                  <to>
                    <xdr:col>5</xdr:col>
                    <xdr:colOff>38100</xdr:colOff>
                    <xdr:row>58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7" name="Button 39">
              <controlPr defaultSize="0" print="0" autoFill="0" autoPict="0" macro="[0]!SplitWorkbook">
                <anchor moveWithCells="1" sizeWithCells="1">
                  <from>
                    <xdr:col>1</xdr:col>
                    <xdr:colOff>47625</xdr:colOff>
                    <xdr:row>66</xdr:row>
                    <xdr:rowOff>133350</xdr:rowOff>
                  </from>
                  <to>
                    <xdr:col>5</xdr:col>
                    <xdr:colOff>47625</xdr:colOff>
                    <xdr:row>68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2E6C6-246C-4FDB-B390-0D340C5B6875}">
  <sheetPr codeName="Sheet4">
    <tabColor theme="7" tint="0.59999389629810485"/>
  </sheetPr>
  <dimension ref="A1:F45"/>
  <sheetViews>
    <sheetView showGridLines="0" workbookViewId="0"/>
  </sheetViews>
  <sheetFormatPr defaultRowHeight="15" x14ac:dyDescent="0.25"/>
  <cols>
    <col min="1" max="1" width="3.7109375" customWidth="1"/>
    <col min="2" max="2" width="21.7109375" bestFit="1" customWidth="1"/>
    <col min="3" max="3" width="122" customWidth="1"/>
    <col min="4" max="5" width="10.7109375" bestFit="1" customWidth="1"/>
  </cols>
  <sheetData>
    <row r="1" spans="1:6" s="7" customFormat="1" ht="18.75" x14ac:dyDescent="0.3">
      <c r="B1" s="7" t="str">
        <f>Name</f>
        <v>Demo Company</v>
      </c>
    </row>
    <row r="2" spans="1:6" s="7" customFormat="1" ht="18.75" x14ac:dyDescent="0.3">
      <c r="B2" s="7" t="str">
        <f>ReportName</f>
        <v>Management accounts for the period to 31 August 2021</v>
      </c>
    </row>
    <row r="3" spans="1:6" s="7" customFormat="1" ht="18.75" x14ac:dyDescent="0.3">
      <c r="B3" s="7" t="s">
        <v>40</v>
      </c>
    </row>
    <row r="4" spans="1:6" s="7" customFormat="1" ht="18.75" x14ac:dyDescent="0.3"/>
    <row r="6" spans="1:6" ht="19.5" thickBot="1" x14ac:dyDescent="0.35">
      <c r="A6" s="12" t="s">
        <v>40</v>
      </c>
      <c r="D6" s="41">
        <f ca="1">TODAY()</f>
        <v>44465</v>
      </c>
      <c r="E6" s="10" t="s">
        <v>180</v>
      </c>
      <c r="F6" s="10" t="s">
        <v>179</v>
      </c>
    </row>
    <row r="7" spans="1:6" ht="16.5" thickTop="1" thickBot="1" x14ac:dyDescent="0.3">
      <c r="B7" s="2" t="s">
        <v>44</v>
      </c>
      <c r="C7" s="52">
        <v>44456</v>
      </c>
      <c r="D7" s="1" t="b">
        <v>0</v>
      </c>
      <c r="E7" s="41" t="str">
        <f>IF(CheckCellP,PrepDateSign,"")</f>
        <v/>
      </c>
      <c r="F7" s="15" t="str">
        <f>IF(CheckCellP,Preparer,"")</f>
        <v/>
      </c>
    </row>
    <row r="8" spans="1:6" ht="16.5" thickTop="1" thickBot="1" x14ac:dyDescent="0.3">
      <c r="B8" s="2" t="s">
        <v>45</v>
      </c>
      <c r="C8" s="52">
        <v>44456</v>
      </c>
      <c r="D8" s="1" t="b">
        <v>0</v>
      </c>
      <c r="E8" s="41" t="str">
        <f>IF(CheckCellR,ManagerDateSign,"")</f>
        <v/>
      </c>
      <c r="F8" s="15" t="str">
        <f>IF(CheckCellR,Manager,"")</f>
        <v/>
      </c>
    </row>
    <row r="9" spans="1:6" ht="16.5" thickTop="1" thickBot="1" x14ac:dyDescent="0.3">
      <c r="B9" s="2" t="s">
        <v>177</v>
      </c>
      <c r="C9" s="52">
        <v>44456</v>
      </c>
      <c r="D9" s="1" t="b">
        <v>0</v>
      </c>
      <c r="E9" s="41" t="str">
        <f>IF(CheckCellPr,PartnerDateSign,"")</f>
        <v/>
      </c>
      <c r="F9" s="15" t="str">
        <f>IF(CheckCellPr,Partner,"")</f>
        <v/>
      </c>
    </row>
    <row r="10" spans="1:6" ht="15.75" thickTop="1" x14ac:dyDescent="0.25"/>
    <row r="11" spans="1:6" s="26" customFormat="1" ht="18.75" x14ac:dyDescent="0.3">
      <c r="A11" s="12" t="s">
        <v>41</v>
      </c>
    </row>
    <row r="12" spans="1:6" x14ac:dyDescent="0.25">
      <c r="B12" s="10" t="s">
        <v>54</v>
      </c>
      <c r="C12" s="10"/>
    </row>
    <row r="13" spans="1:6" s="26" customFormat="1" x14ac:dyDescent="0.25">
      <c r="B13" s="2" t="s">
        <v>61</v>
      </c>
      <c r="C13" s="16" t="str">
        <f>SetUp!C28</f>
        <v>firstname.lastname@accountants.co.uk</v>
      </c>
    </row>
    <row r="14" spans="1:6" s="26" customFormat="1" x14ac:dyDescent="0.25">
      <c r="B14" s="2" t="s">
        <v>59</v>
      </c>
      <c r="C14" s="16" t="str">
        <f>SetUp!C29</f>
        <v>Ready for Review - Demo Company - Aug 21</v>
      </c>
    </row>
    <row r="15" spans="1:6" ht="15.75" thickBot="1" x14ac:dyDescent="0.3">
      <c r="B15" s="2" t="s">
        <v>60</v>
      </c>
      <c r="C15" s="16" t="str">
        <f>SUBSTITUTE(ManagerEmailBody,"__","%0A%0A")</f>
        <v>Hey Alex,%0A%0AThat is Demo Company for August ready to review.%0A%0AThanks,%0A%0ASam</v>
      </c>
    </row>
    <row r="16" spans="1:6" s="26" customFormat="1" ht="31.5" thickTop="1" thickBot="1" x14ac:dyDescent="0.3">
      <c r="B16" s="2" t="s">
        <v>58</v>
      </c>
      <c r="C16" s="28" t="str">
        <f>"mailto:"&amp;C13&amp;"?"&amp;"subject="&amp;C14&amp;"&amp;body="&amp;C15</f>
        <v>mailto:firstname.lastname@accountants.co.uk?subject=Ready for Review - Demo Company - Aug 21&amp;body=Hey Alex,%0A%0AThat is Demo Company for August ready to review.%0A%0AThanks,%0A%0ASam</v>
      </c>
      <c r="D16" s="1" t="b">
        <f>LEN(C16)&lt;=255</f>
        <v>1</v>
      </c>
    </row>
    <row r="17" spans="2:4" ht="15.75" thickTop="1" x14ac:dyDescent="0.25"/>
    <row r="18" spans="2:4" s="26" customFormat="1" x14ac:dyDescent="0.25">
      <c r="B18" s="10" t="s">
        <v>74</v>
      </c>
      <c r="C18" s="10"/>
    </row>
    <row r="19" spans="2:4" s="26" customFormat="1" x14ac:dyDescent="0.25">
      <c r="B19" s="2" t="s">
        <v>61</v>
      </c>
      <c r="C19" s="16" t="str">
        <f>SetUp!C35</f>
        <v>firstname.lastname@accountants.co.uk</v>
      </c>
    </row>
    <row r="20" spans="2:4" s="26" customFormat="1" x14ac:dyDescent="0.25">
      <c r="B20" s="2" t="s">
        <v>59</v>
      </c>
      <c r="C20" s="16" t="str">
        <f>SetUp!C37</f>
        <v>Review Points - Demo Company - Aug 21</v>
      </c>
    </row>
    <row r="21" spans="2:4" s="26" customFormat="1" ht="15.75" thickBot="1" x14ac:dyDescent="0.3">
      <c r="B21" s="2" t="s">
        <v>60</v>
      </c>
      <c r="C21" s="16" t="str">
        <f>SUBSTITUTE(PreparerEmailBody,"__","%0A%0A")</f>
        <v>Hey Sam,%0A%0AI have reviewed the Demo Company  file.%0A%0ALet me know if you have any questions.%0A%0AThanks%0A%0AAlex</v>
      </c>
    </row>
    <row r="22" spans="2:4" s="26" customFormat="1" ht="31.5" thickTop="1" thickBot="1" x14ac:dyDescent="0.3">
      <c r="B22" s="2" t="s">
        <v>58</v>
      </c>
      <c r="C22" s="28" t="str">
        <f>"mailto:"&amp;C19&amp;"?"&amp;"subject="&amp;C20&amp;"&amp;body="&amp;C21</f>
        <v>mailto:firstname.lastname@accountants.co.uk?subject=Review Points - Demo Company - Aug 21&amp;body=Hey Sam,%0A%0AI have reviewed the Demo Company  file.%0A%0ALet me know if you have any questions.%0A%0AThanks%0A%0AAlex</v>
      </c>
      <c r="D22" s="1" t="b">
        <f>LEN(C22)&lt;=255</f>
        <v>1</v>
      </c>
    </row>
    <row r="23" spans="2:4" s="26" customFormat="1" ht="15.75" thickTop="1" x14ac:dyDescent="0.25"/>
    <row r="24" spans="2:4" x14ac:dyDescent="0.25">
      <c r="B24" s="10" t="s">
        <v>55</v>
      </c>
      <c r="C24" s="10"/>
    </row>
    <row r="25" spans="2:4" s="26" customFormat="1" x14ac:dyDescent="0.25">
      <c r="B25" s="2" t="s">
        <v>61</v>
      </c>
      <c r="C25" s="16" t="str">
        <f>SetUp!C43</f>
        <v>firstname.lastname@accountants.co.uk</v>
      </c>
    </row>
    <row r="26" spans="2:4" s="26" customFormat="1" x14ac:dyDescent="0.25">
      <c r="B26" s="2" t="s">
        <v>62</v>
      </c>
      <c r="C26" s="16" t="str">
        <f>SetUp!C44</f>
        <v>firstname.lastname@accountants.co.uk</v>
      </c>
    </row>
    <row r="27" spans="2:4" s="26" customFormat="1" x14ac:dyDescent="0.25">
      <c r="B27" s="2" t="s">
        <v>59</v>
      </c>
      <c r="C27" s="16" t="str">
        <f>SetUp!C45</f>
        <v>Partner Review - Demo Company - Aug 21</v>
      </c>
    </row>
    <row r="28" spans="2:4" s="26" customFormat="1" ht="15.75" thickBot="1" x14ac:dyDescent="0.3">
      <c r="B28" s="2" t="s">
        <v>60</v>
      </c>
      <c r="C28" s="16" t="str">
        <f>SUBSTITUTE(PartnerEmailBody,"__","%0A%0A")</f>
        <v>Hi Emma,%0A%0AThe Demo Company, for August, is now ready for your review.%0A%0AThanks,%0A%0AAlex</v>
      </c>
    </row>
    <row r="29" spans="2:4" s="26" customFormat="1" ht="46.5" thickTop="1" thickBot="1" x14ac:dyDescent="0.3">
      <c r="B29" s="2" t="s">
        <v>58</v>
      </c>
      <c r="C29" s="28" t="str">
        <f>"mailto:"&amp;C25&amp;"?"&amp;"subject="&amp;C27&amp;"&amp;cc="&amp;C26&amp;"&amp;body="&amp;C28</f>
        <v>mailto:firstname.lastname@accountants.co.uk?subject=Partner Review - Demo Company - Aug 21&amp;cc=firstname.lastname@accountants.co.uk&amp;body=Hi Emma,%0A%0AThe Demo Company, for August, is now ready for your review.%0A%0AThanks,%0A%0AAlex</v>
      </c>
      <c r="D29" s="1" t="b">
        <f>LEN(C29)&lt;=255</f>
        <v>1</v>
      </c>
    </row>
    <row r="30" spans="2:4" ht="15.75" thickTop="1" x14ac:dyDescent="0.25"/>
    <row r="31" spans="2:4" x14ac:dyDescent="0.25">
      <c r="B31" s="10" t="s">
        <v>46</v>
      </c>
      <c r="C31" s="10"/>
    </row>
    <row r="32" spans="2:4" s="26" customFormat="1" x14ac:dyDescent="0.25">
      <c r="B32" s="2" t="s">
        <v>61</v>
      </c>
      <c r="C32" s="16" t="str">
        <f>SetUp!C51</f>
        <v>firstname.lastname@clientcomp.co.uk</v>
      </c>
    </row>
    <row r="33" spans="1:4" s="26" customFormat="1" x14ac:dyDescent="0.25">
      <c r="B33" s="2" t="s">
        <v>62</v>
      </c>
      <c r="C33" s="16" t="str">
        <f>SetUp!C52</f>
        <v>firstname.lastname@accountants.co.uk</v>
      </c>
    </row>
    <row r="34" spans="1:4" s="26" customFormat="1" x14ac:dyDescent="0.25">
      <c r="B34" s="2" t="s">
        <v>59</v>
      </c>
      <c r="C34" s="16" t="str">
        <f>SetUp!C53</f>
        <v>August information request</v>
      </c>
    </row>
    <row r="35" spans="1:4" s="26" customFormat="1" ht="15.75" thickBot="1" x14ac:dyDescent="0.3">
      <c r="B35" s="2" t="s">
        <v>60</v>
      </c>
      <c r="C35" s="16" t="str">
        <f>SUBSTITUTE(ClientEmailBody,"__","%0A%0A")</f>
        <v>Hi Joe,%0A%0APlease could you send through the invoices for the current reporting month (August).%0A%0AThanks,%0A%0ASam</v>
      </c>
    </row>
    <row r="36" spans="1:4" s="26" customFormat="1" ht="46.5" thickTop="1" thickBot="1" x14ac:dyDescent="0.3">
      <c r="B36" s="2" t="s">
        <v>58</v>
      </c>
      <c r="C36" s="28" t="str">
        <f>"mailto:"&amp;C32&amp;"?"&amp;"subject="&amp;C34&amp;"&amp;cc="&amp;C33&amp;"&amp;body="&amp;C35</f>
        <v>mailto:firstname.lastname@clientcomp.co.uk?subject=August information request&amp;cc=firstname.lastname@accountants.co.uk&amp;body=Hi Joe,%0A%0APlease could you send through the invoices for the current reporting month (August).%0A%0AThanks,%0A%0ASam</v>
      </c>
      <c r="D36" s="1" t="b">
        <f>LEN(C36)&lt;=255</f>
        <v>1</v>
      </c>
    </row>
    <row r="37" spans="1:4" ht="15.75" thickTop="1" x14ac:dyDescent="0.25"/>
    <row r="38" spans="1:4" ht="18.75" x14ac:dyDescent="0.3">
      <c r="A38" s="12" t="s">
        <v>243</v>
      </c>
    </row>
    <row r="39" spans="1:4" s="26" customFormat="1" x14ac:dyDescent="0.25">
      <c r="B39" s="2" t="s">
        <v>205</v>
      </c>
      <c r="C39" s="52">
        <v>44439</v>
      </c>
      <c r="D39" s="41">
        <f>ReportingMonth</f>
        <v>44439</v>
      </c>
    </row>
    <row r="40" spans="1:4" s="26" customFormat="1" x14ac:dyDescent="0.25">
      <c r="B40" s="2" t="s">
        <v>244</v>
      </c>
      <c r="C40" s="52">
        <v>44439</v>
      </c>
      <c r="D40" s="41">
        <f>ReportingMonth</f>
        <v>44439</v>
      </c>
    </row>
    <row r="41" spans="1:4" s="26" customFormat="1" x14ac:dyDescent="0.25"/>
    <row r="42" spans="1:4" x14ac:dyDescent="0.25">
      <c r="B42" s="2" t="str">
        <f>'E1'!D7</f>
        <v>Office Equipment</v>
      </c>
      <c r="C42" s="16">
        <v>409.16666666666669</v>
      </c>
      <c r="D42" s="15">
        <f>'E1'!D25</f>
        <v>430</v>
      </c>
    </row>
    <row r="43" spans="1:4" x14ac:dyDescent="0.25">
      <c r="B43" s="2" t="str">
        <f>'E1'!F7</f>
        <v>Plant &amp; Machinery</v>
      </c>
      <c r="C43" s="16">
        <v>14150</v>
      </c>
      <c r="D43" s="15">
        <f>'E1'!F25</f>
        <v>14725</v>
      </c>
    </row>
    <row r="44" spans="1:4" x14ac:dyDescent="0.25">
      <c r="B44" s="2" t="str">
        <f>'E1'!H7</f>
        <v>Fixtures &amp; Fittings</v>
      </c>
      <c r="C44" s="16">
        <v>221.25</v>
      </c>
      <c r="D44" s="15">
        <f>'E1'!H25</f>
        <v>235.83333333333334</v>
      </c>
    </row>
    <row r="45" spans="1:4" x14ac:dyDescent="0.25">
      <c r="B45" s="2" t="str">
        <f>'E1'!J7</f>
        <v>Computer Equipment</v>
      </c>
      <c r="C45" s="16">
        <v>789.58333333333326</v>
      </c>
      <c r="D45" s="15">
        <f>'E1'!J25</f>
        <v>866.66666666666663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2E032-0547-4EA2-8DAE-0896505A9D40}">
  <sheetPr codeName="Sheet6">
    <tabColor theme="8" tint="-0.499984740745262"/>
  </sheetPr>
  <dimension ref="D9:N17"/>
  <sheetViews>
    <sheetView showGridLines="0" workbookViewId="0"/>
  </sheetViews>
  <sheetFormatPr defaultColWidth="8.85546875" defaultRowHeight="15" x14ac:dyDescent="0.25"/>
  <cols>
    <col min="1" max="16384" width="8.85546875" style="26"/>
  </cols>
  <sheetData>
    <row r="9" spans="4:14" x14ac:dyDescent="0.25">
      <c r="D9" s="70" t="s">
        <v>75</v>
      </c>
      <c r="E9" s="70"/>
      <c r="F9" s="70"/>
      <c r="G9" s="70"/>
      <c r="H9" s="70"/>
      <c r="I9" s="70"/>
      <c r="J9" s="70"/>
      <c r="K9" s="70"/>
      <c r="L9" s="70"/>
      <c r="M9" s="70"/>
      <c r="N9" s="70"/>
    </row>
    <row r="10" spans="4:14" x14ac:dyDescent="0.25"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</row>
    <row r="11" spans="4:14" x14ac:dyDescent="0.25"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</row>
    <row r="12" spans="4:14" x14ac:dyDescent="0.25"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</row>
    <row r="13" spans="4:14" x14ac:dyDescent="0.25"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</row>
    <row r="14" spans="4:14" x14ac:dyDescent="0.25"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</row>
    <row r="15" spans="4:14" x14ac:dyDescent="0.25"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</row>
    <row r="16" spans="4:14" x14ac:dyDescent="0.25"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4:14" x14ac:dyDescent="0.25"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</row>
  </sheetData>
  <mergeCells count="1">
    <mergeCell ref="D9:N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1C5E-5A29-4CD8-BC12-DB1C571F46F8}">
  <sheetPr codeName="Sheet7">
    <tabColor theme="8" tint="0.59999389629810485"/>
  </sheetPr>
  <dimension ref="B1:G49"/>
  <sheetViews>
    <sheetView showGridLines="0" workbookViewId="0"/>
  </sheetViews>
  <sheetFormatPr defaultRowHeight="15" x14ac:dyDescent="0.25"/>
  <cols>
    <col min="1" max="1" width="3.7109375" customWidth="1"/>
    <col min="2" max="2" width="6.85546875" customWidth="1"/>
    <col min="3" max="3" width="52.140625" bestFit="1" customWidth="1"/>
    <col min="4" max="4" width="15.28515625" bestFit="1" customWidth="1"/>
    <col min="7" max="7" width="10.85546875" bestFit="1" customWidth="1"/>
  </cols>
  <sheetData>
    <row r="1" spans="2:7" s="7" customFormat="1" ht="18.75" x14ac:dyDescent="0.3">
      <c r="B1" s="7" t="str">
        <f>Name</f>
        <v>Demo Company</v>
      </c>
    </row>
    <row r="2" spans="2:7" s="7" customFormat="1" ht="18.75" x14ac:dyDescent="0.3">
      <c r="B2" s="7" t="str">
        <f>ReportName</f>
        <v>Management accounts for the period to 31 August 2021</v>
      </c>
    </row>
    <row r="3" spans="2:7" s="7" customFormat="1" ht="18.75" x14ac:dyDescent="0.3">
      <c r="B3" s="7" t="s">
        <v>76</v>
      </c>
    </row>
    <row r="4" spans="2:7" s="7" customFormat="1" ht="18.75" x14ac:dyDescent="0.3"/>
    <row r="6" spans="2:7" x14ac:dyDescent="0.25">
      <c r="B6" s="10" t="s">
        <v>141</v>
      </c>
      <c r="C6" s="10" t="s">
        <v>77</v>
      </c>
      <c r="D6" s="10" t="s">
        <v>78</v>
      </c>
      <c r="E6" s="10" t="s">
        <v>79</v>
      </c>
      <c r="F6" s="10" t="s">
        <v>80</v>
      </c>
      <c r="G6" s="10" t="s">
        <v>140</v>
      </c>
    </row>
    <row r="7" spans="2:7" ht="15.75" x14ac:dyDescent="0.25">
      <c r="B7" s="29" t="s">
        <v>81</v>
      </c>
      <c r="C7" s="30" t="s">
        <v>82</v>
      </c>
      <c r="D7" s="30" t="s">
        <v>83</v>
      </c>
      <c r="E7" s="29"/>
      <c r="F7" s="31">
        <v>33886.92</v>
      </c>
      <c r="G7" s="13">
        <f>E7-F7</f>
        <v>-33886.92</v>
      </c>
    </row>
    <row r="8" spans="2:7" ht="15.75" x14ac:dyDescent="0.25">
      <c r="B8" s="29" t="s">
        <v>84</v>
      </c>
      <c r="C8" s="30" t="s">
        <v>85</v>
      </c>
      <c r="D8" s="30" t="s">
        <v>86</v>
      </c>
      <c r="E8" s="31">
        <v>2969.93</v>
      </c>
      <c r="F8" s="29"/>
      <c r="G8" s="13">
        <f t="shared" ref="G8:G48" si="0">E8-F8</f>
        <v>2969.93</v>
      </c>
    </row>
    <row r="9" spans="2:7" s="26" customFormat="1" ht="15.75" x14ac:dyDescent="0.25">
      <c r="B9" s="59" t="s">
        <v>323</v>
      </c>
      <c r="C9" s="30" t="s">
        <v>322</v>
      </c>
      <c r="D9" s="30" t="s">
        <v>324</v>
      </c>
      <c r="E9" s="31"/>
      <c r="F9" s="29">
        <v>84921.279999999999</v>
      </c>
      <c r="G9" s="13">
        <f t="shared" si="0"/>
        <v>-84921.279999999999</v>
      </c>
    </row>
    <row r="10" spans="2:7" ht="15.75" x14ac:dyDescent="0.25">
      <c r="B10" s="29" t="s">
        <v>87</v>
      </c>
      <c r="C10" s="30" t="s">
        <v>88</v>
      </c>
      <c r="D10" s="30" t="s">
        <v>89</v>
      </c>
      <c r="E10" s="31">
        <v>8011.46</v>
      </c>
      <c r="F10" s="29"/>
      <c r="G10" s="13">
        <f t="shared" si="0"/>
        <v>8011.46</v>
      </c>
    </row>
    <row r="11" spans="2:7" ht="15.75" x14ac:dyDescent="0.25">
      <c r="B11" s="29" t="s">
        <v>90</v>
      </c>
      <c r="C11" s="30" t="s">
        <v>91</v>
      </c>
      <c r="D11" s="30" t="s">
        <v>89</v>
      </c>
      <c r="E11" s="31">
        <v>640.88</v>
      </c>
      <c r="F11" s="29"/>
      <c r="G11" s="13">
        <f t="shared" si="0"/>
        <v>640.88</v>
      </c>
    </row>
    <row r="12" spans="2:7" ht="15.75" x14ac:dyDescent="0.25">
      <c r="B12" s="29" t="s">
        <v>92</v>
      </c>
      <c r="C12" s="30" t="s">
        <v>93</v>
      </c>
      <c r="D12" s="30" t="s">
        <v>89</v>
      </c>
      <c r="E12" s="31">
        <v>30</v>
      </c>
      <c r="F12" s="29"/>
      <c r="G12" s="13">
        <f t="shared" si="0"/>
        <v>30</v>
      </c>
    </row>
    <row r="13" spans="2:7" ht="15.75" x14ac:dyDescent="0.25">
      <c r="B13" s="29" t="s">
        <v>94</v>
      </c>
      <c r="C13" s="30" t="s">
        <v>95</v>
      </c>
      <c r="D13" s="30" t="s">
        <v>89</v>
      </c>
      <c r="E13" s="31">
        <v>599.23</v>
      </c>
      <c r="F13" s="29"/>
      <c r="G13" s="13">
        <f t="shared" si="0"/>
        <v>599.23</v>
      </c>
    </row>
    <row r="14" spans="2:7" s="26" customFormat="1" ht="15.75" x14ac:dyDescent="0.25">
      <c r="B14" s="59" t="s">
        <v>316</v>
      </c>
      <c r="C14" s="30" t="s">
        <v>315</v>
      </c>
      <c r="D14" s="30" t="s">
        <v>89</v>
      </c>
      <c r="E14" s="31">
        <v>4604.583333333333</v>
      </c>
      <c r="F14" s="29"/>
      <c r="G14" s="13">
        <f t="shared" si="0"/>
        <v>4604.583333333333</v>
      </c>
    </row>
    <row r="15" spans="2:7" ht="15.75" x14ac:dyDescent="0.25">
      <c r="B15" s="29" t="s">
        <v>96</v>
      </c>
      <c r="C15" s="30" t="s">
        <v>97</v>
      </c>
      <c r="D15" s="30" t="s">
        <v>89</v>
      </c>
      <c r="E15" s="31">
        <v>44.66</v>
      </c>
      <c r="F15" s="29"/>
      <c r="G15" s="13">
        <f t="shared" si="0"/>
        <v>44.66</v>
      </c>
    </row>
    <row r="16" spans="2:7" ht="15.75" x14ac:dyDescent="0.25">
      <c r="B16" s="29" t="s">
        <v>98</v>
      </c>
      <c r="C16" s="30" t="s">
        <v>99</v>
      </c>
      <c r="D16" s="30" t="s">
        <v>89</v>
      </c>
      <c r="E16" s="31">
        <v>94.19</v>
      </c>
      <c r="F16" s="29"/>
      <c r="G16" s="13">
        <f t="shared" si="0"/>
        <v>94.19</v>
      </c>
    </row>
    <row r="17" spans="2:7" ht="15.75" x14ac:dyDescent="0.25">
      <c r="B17" s="29" t="s">
        <v>100</v>
      </c>
      <c r="C17" s="30" t="s">
        <v>101</v>
      </c>
      <c r="D17" s="30" t="s">
        <v>89</v>
      </c>
      <c r="E17" s="31">
        <v>418.33</v>
      </c>
      <c r="F17" s="29"/>
      <c r="G17" s="13">
        <f t="shared" si="0"/>
        <v>418.33</v>
      </c>
    </row>
    <row r="18" spans="2:7" ht="15.75" x14ac:dyDescent="0.25">
      <c r="B18" s="29" t="s">
        <v>102</v>
      </c>
      <c r="C18" s="30" t="s">
        <v>103</v>
      </c>
      <c r="D18" s="30" t="s">
        <v>89</v>
      </c>
      <c r="E18" s="31">
        <v>551.08000000000004</v>
      </c>
      <c r="F18" s="29"/>
      <c r="G18" s="13">
        <f t="shared" si="0"/>
        <v>551.08000000000004</v>
      </c>
    </row>
    <row r="19" spans="2:7" ht="15.75" x14ac:dyDescent="0.25">
      <c r="B19" s="29" t="s">
        <v>104</v>
      </c>
      <c r="C19" s="30" t="s">
        <v>105</v>
      </c>
      <c r="D19" s="30" t="s">
        <v>89</v>
      </c>
      <c r="E19" s="31">
        <v>649.29</v>
      </c>
      <c r="F19" s="29"/>
      <c r="G19" s="13">
        <f t="shared" si="0"/>
        <v>649.29</v>
      </c>
    </row>
    <row r="20" spans="2:7" ht="15.75" x14ac:dyDescent="0.25">
      <c r="B20" s="29" t="s">
        <v>106</v>
      </c>
      <c r="C20" s="30" t="s">
        <v>107</v>
      </c>
      <c r="D20" s="30" t="s">
        <v>89</v>
      </c>
      <c r="E20" s="31">
        <v>83.67</v>
      </c>
      <c r="F20" s="29"/>
      <c r="G20" s="13">
        <f t="shared" si="0"/>
        <v>83.67</v>
      </c>
    </row>
    <row r="21" spans="2:7" ht="15.75" x14ac:dyDescent="0.25">
      <c r="B21" s="29" t="s">
        <v>108</v>
      </c>
      <c r="C21" s="30" t="s">
        <v>109</v>
      </c>
      <c r="D21" s="30" t="s">
        <v>89</v>
      </c>
      <c r="E21" s="31">
        <v>3937.52</v>
      </c>
      <c r="F21" s="29"/>
      <c r="G21" s="13">
        <f t="shared" si="0"/>
        <v>3937.52</v>
      </c>
    </row>
    <row r="22" spans="2:7" ht="15.75" x14ac:dyDescent="0.25">
      <c r="B22" s="29" t="s">
        <v>110</v>
      </c>
      <c r="C22" s="30" t="s">
        <v>111</v>
      </c>
      <c r="D22" s="30" t="s">
        <v>89</v>
      </c>
      <c r="E22" s="31">
        <v>886.3</v>
      </c>
      <c r="F22" s="29"/>
      <c r="G22" s="13">
        <f t="shared" si="0"/>
        <v>886.3</v>
      </c>
    </row>
    <row r="23" spans="2:7" ht="15.75" x14ac:dyDescent="0.25">
      <c r="B23" s="29" t="s">
        <v>112</v>
      </c>
      <c r="C23" s="30" t="s">
        <v>113</v>
      </c>
      <c r="D23" s="30" t="s">
        <v>89</v>
      </c>
      <c r="E23" s="31">
        <v>1234.8</v>
      </c>
      <c r="F23" s="29"/>
      <c r="G23" s="13">
        <f t="shared" si="0"/>
        <v>1234.8</v>
      </c>
    </row>
    <row r="24" spans="2:7" ht="15.75" x14ac:dyDescent="0.25">
      <c r="B24" s="29" t="s">
        <v>114</v>
      </c>
      <c r="C24" s="30" t="s">
        <v>115</v>
      </c>
      <c r="D24" s="30" t="s">
        <v>89</v>
      </c>
      <c r="E24" s="31">
        <v>164.48</v>
      </c>
      <c r="F24" s="29"/>
      <c r="G24" s="13">
        <f t="shared" si="0"/>
        <v>164.48</v>
      </c>
    </row>
    <row r="25" spans="2:7" ht="15.75" x14ac:dyDescent="0.25">
      <c r="B25" s="29" t="s">
        <v>116</v>
      </c>
      <c r="C25" s="30" t="s">
        <v>117</v>
      </c>
      <c r="D25" s="30" t="s">
        <v>89</v>
      </c>
      <c r="E25" s="31">
        <v>230.75</v>
      </c>
      <c r="F25" s="29"/>
      <c r="G25" s="13">
        <f t="shared" si="0"/>
        <v>230.75</v>
      </c>
    </row>
    <row r="26" spans="2:7" ht="15.75" x14ac:dyDescent="0.25">
      <c r="B26" s="29" t="s">
        <v>118</v>
      </c>
      <c r="C26" s="30" t="s">
        <v>262</v>
      </c>
      <c r="D26" s="30" t="s">
        <v>119</v>
      </c>
      <c r="E26" s="29">
        <v>20000</v>
      </c>
      <c r="F26" s="31"/>
      <c r="G26" s="13">
        <f t="shared" si="0"/>
        <v>20000</v>
      </c>
    </row>
    <row r="27" spans="2:7" s="26" customFormat="1" ht="15.75" x14ac:dyDescent="0.25">
      <c r="B27" s="59" t="s">
        <v>258</v>
      </c>
      <c r="C27" s="30" t="s">
        <v>260</v>
      </c>
      <c r="D27" s="30" t="s">
        <v>119</v>
      </c>
      <c r="E27" s="29">
        <v>17000</v>
      </c>
      <c r="F27" s="31"/>
      <c r="G27" s="13">
        <f t="shared" si="0"/>
        <v>17000</v>
      </c>
    </row>
    <row r="28" spans="2:7" s="26" customFormat="1" ht="15.75" x14ac:dyDescent="0.25">
      <c r="B28" s="59" t="s">
        <v>259</v>
      </c>
      <c r="C28" s="30" t="s">
        <v>261</v>
      </c>
      <c r="D28" s="30" t="s">
        <v>119</v>
      </c>
      <c r="E28" s="29">
        <v>8570</v>
      </c>
      <c r="F28" s="31"/>
      <c r="G28" s="13">
        <f t="shared" si="0"/>
        <v>8570</v>
      </c>
    </row>
    <row r="29" spans="2:7" ht="15.75" x14ac:dyDescent="0.25">
      <c r="B29" s="29" t="s">
        <v>120</v>
      </c>
      <c r="C29" s="30" t="s">
        <v>121</v>
      </c>
      <c r="D29" s="30" t="s">
        <v>122</v>
      </c>
      <c r="E29" s="31">
        <v>20441.38</v>
      </c>
      <c r="F29" s="29"/>
      <c r="G29" s="13">
        <f t="shared" si="0"/>
        <v>20441.38</v>
      </c>
    </row>
    <row r="30" spans="2:7" ht="15.75" x14ac:dyDescent="0.25">
      <c r="B30" s="29" t="s">
        <v>209</v>
      </c>
      <c r="C30" s="30" t="s">
        <v>207</v>
      </c>
      <c r="D30" s="30" t="s">
        <v>122</v>
      </c>
      <c r="E30" s="31">
        <v>4812.83</v>
      </c>
      <c r="F30" s="29"/>
      <c r="G30" s="13">
        <f t="shared" si="0"/>
        <v>4812.83</v>
      </c>
    </row>
    <row r="31" spans="2:7" s="26" customFormat="1" ht="15.75" x14ac:dyDescent="0.25">
      <c r="B31" s="59" t="s">
        <v>338</v>
      </c>
      <c r="C31" s="30" t="s">
        <v>249</v>
      </c>
      <c r="D31" s="30" t="s">
        <v>122</v>
      </c>
      <c r="E31" s="31">
        <v>300</v>
      </c>
      <c r="F31" s="29"/>
      <c r="G31" s="13">
        <f t="shared" si="0"/>
        <v>300</v>
      </c>
    </row>
    <row r="32" spans="2:7" s="26" customFormat="1" ht="15.75" x14ac:dyDescent="0.25">
      <c r="B32" s="59" t="s">
        <v>339</v>
      </c>
      <c r="C32" s="30" t="s">
        <v>250</v>
      </c>
      <c r="D32" s="30" t="s">
        <v>122</v>
      </c>
      <c r="E32" s="31">
        <v>1000</v>
      </c>
      <c r="F32" s="29"/>
      <c r="G32" s="13">
        <f t="shared" si="0"/>
        <v>1000</v>
      </c>
    </row>
    <row r="33" spans="2:7" ht="15.75" x14ac:dyDescent="0.25">
      <c r="B33" s="29" t="s">
        <v>123</v>
      </c>
      <c r="C33" s="30" t="s">
        <v>124</v>
      </c>
      <c r="D33" s="30" t="s">
        <v>125</v>
      </c>
      <c r="E33" s="29">
        <v>2500</v>
      </c>
      <c r="F33" s="31"/>
      <c r="G33" s="13">
        <f t="shared" si="0"/>
        <v>2500</v>
      </c>
    </row>
    <row r="34" spans="2:7" s="26" customFormat="1" ht="15.75" x14ac:dyDescent="0.25">
      <c r="B34" s="59" t="s">
        <v>307</v>
      </c>
      <c r="C34" s="30" t="s">
        <v>311</v>
      </c>
      <c r="D34" s="30" t="s">
        <v>125</v>
      </c>
      <c r="E34" s="29"/>
      <c r="F34" s="31">
        <v>430</v>
      </c>
      <c r="G34" s="13">
        <f t="shared" si="0"/>
        <v>-430</v>
      </c>
    </row>
    <row r="35" spans="2:7" ht="15.75" x14ac:dyDescent="0.25">
      <c r="B35" s="29" t="s">
        <v>126</v>
      </c>
      <c r="C35" s="30" t="s">
        <v>127</v>
      </c>
      <c r="D35" s="30" t="s">
        <v>125</v>
      </c>
      <c r="E35" s="29">
        <v>866.66666666666663</v>
      </c>
      <c r="F35" s="31"/>
      <c r="G35" s="13">
        <f t="shared" si="0"/>
        <v>866.66666666666663</v>
      </c>
    </row>
    <row r="36" spans="2:7" s="26" customFormat="1" ht="15.75" x14ac:dyDescent="0.25">
      <c r="B36" s="59" t="s">
        <v>308</v>
      </c>
      <c r="C36" s="30" t="s">
        <v>312</v>
      </c>
      <c r="D36" s="30" t="s">
        <v>125</v>
      </c>
      <c r="E36" s="29"/>
      <c r="F36" s="31">
        <v>866.66666666666663</v>
      </c>
      <c r="G36" s="13">
        <f t="shared" si="0"/>
        <v>-866.66666666666663</v>
      </c>
    </row>
    <row r="37" spans="2:7" s="26" customFormat="1" ht="15.75" x14ac:dyDescent="0.25">
      <c r="B37" s="59" t="s">
        <v>305</v>
      </c>
      <c r="C37" s="30" t="s">
        <v>189</v>
      </c>
      <c r="D37" s="30" t="s">
        <v>125</v>
      </c>
      <c r="E37" s="29">
        <v>46000</v>
      </c>
      <c r="F37" s="31"/>
      <c r="G37" s="13">
        <f t="shared" si="0"/>
        <v>46000</v>
      </c>
    </row>
    <row r="38" spans="2:7" s="26" customFormat="1" ht="15.75" x14ac:dyDescent="0.25">
      <c r="B38" s="59" t="s">
        <v>309</v>
      </c>
      <c r="C38" s="30" t="s">
        <v>313</v>
      </c>
      <c r="D38" s="30" t="s">
        <v>125</v>
      </c>
      <c r="E38" s="29"/>
      <c r="F38" s="31">
        <v>14725</v>
      </c>
      <c r="G38" s="13">
        <f t="shared" si="0"/>
        <v>-14725</v>
      </c>
    </row>
    <row r="39" spans="2:7" s="26" customFormat="1" ht="15.75" x14ac:dyDescent="0.25">
      <c r="B39" s="59" t="s">
        <v>306</v>
      </c>
      <c r="C39" s="30" t="s">
        <v>190</v>
      </c>
      <c r="D39" s="30" t="s">
        <v>125</v>
      </c>
      <c r="E39" s="29">
        <v>1105</v>
      </c>
      <c r="F39" s="31"/>
      <c r="G39" s="13">
        <f t="shared" si="0"/>
        <v>1105</v>
      </c>
    </row>
    <row r="40" spans="2:7" s="26" customFormat="1" ht="15.75" x14ac:dyDescent="0.25">
      <c r="B40" s="59" t="s">
        <v>310</v>
      </c>
      <c r="C40" s="30" t="s">
        <v>314</v>
      </c>
      <c r="D40" s="30" t="s">
        <v>125</v>
      </c>
      <c r="E40" s="29"/>
      <c r="F40" s="31">
        <v>235.83333333333334</v>
      </c>
      <c r="G40" s="13">
        <f t="shared" si="0"/>
        <v>-235.83333333333334</v>
      </c>
    </row>
    <row r="41" spans="2:7" ht="15.75" x14ac:dyDescent="0.25">
      <c r="B41" s="29" t="s">
        <v>128</v>
      </c>
      <c r="C41" s="30" t="s">
        <v>129</v>
      </c>
      <c r="D41" s="30" t="s">
        <v>130</v>
      </c>
      <c r="E41" s="29"/>
      <c r="F41" s="31">
        <v>8668.24</v>
      </c>
      <c r="G41" s="13">
        <f t="shared" si="0"/>
        <v>-8668.24</v>
      </c>
    </row>
    <row r="42" spans="2:7" ht="15.75" x14ac:dyDescent="0.25">
      <c r="B42" s="29" t="s">
        <v>131</v>
      </c>
      <c r="C42" s="30" t="s">
        <v>132</v>
      </c>
      <c r="D42" s="30" t="s">
        <v>130</v>
      </c>
      <c r="E42" s="29"/>
      <c r="F42" s="31">
        <v>150.85</v>
      </c>
      <c r="G42" s="13">
        <f t="shared" si="0"/>
        <v>-150.85</v>
      </c>
    </row>
    <row r="43" spans="2:7" ht="15.75" x14ac:dyDescent="0.25">
      <c r="B43" s="29" t="s">
        <v>210</v>
      </c>
      <c r="C43" s="30" t="s">
        <v>211</v>
      </c>
      <c r="D43" s="30" t="s">
        <v>130</v>
      </c>
      <c r="E43" s="29"/>
      <c r="F43" s="31">
        <v>1000</v>
      </c>
      <c r="G43" s="13">
        <f t="shared" si="0"/>
        <v>-1000</v>
      </c>
    </row>
    <row r="44" spans="2:7" ht="15.75" x14ac:dyDescent="0.25">
      <c r="B44" s="29" t="s">
        <v>133</v>
      </c>
      <c r="C44" s="30" t="s">
        <v>134</v>
      </c>
      <c r="D44" s="30" t="s">
        <v>130</v>
      </c>
      <c r="E44" s="31"/>
      <c r="F44" s="29">
        <v>990.47</v>
      </c>
      <c r="G44" s="13">
        <f t="shared" si="0"/>
        <v>-990.47</v>
      </c>
    </row>
    <row r="45" spans="2:7" s="26" customFormat="1" ht="15.75" x14ac:dyDescent="0.25">
      <c r="B45" s="59" t="s">
        <v>340</v>
      </c>
      <c r="C45" s="30" t="s">
        <v>271</v>
      </c>
      <c r="D45" s="30" t="s">
        <v>130</v>
      </c>
      <c r="E45" s="31"/>
      <c r="F45" s="29">
        <v>1500</v>
      </c>
      <c r="G45" s="13">
        <f t="shared" si="0"/>
        <v>-1500</v>
      </c>
    </row>
    <row r="46" spans="2:7" s="26" customFormat="1" ht="15.75" x14ac:dyDescent="0.25">
      <c r="B46" s="59" t="s">
        <v>135</v>
      </c>
      <c r="C46" s="30" t="s">
        <v>272</v>
      </c>
      <c r="D46" s="30" t="s">
        <v>130</v>
      </c>
      <c r="E46" s="31"/>
      <c r="F46" s="29">
        <v>1000</v>
      </c>
      <c r="G46" s="13">
        <f t="shared" si="0"/>
        <v>-1000</v>
      </c>
    </row>
    <row r="47" spans="2:7" s="26" customFormat="1" ht="15.75" x14ac:dyDescent="0.25">
      <c r="B47" s="29" t="s">
        <v>135</v>
      </c>
      <c r="C47" s="30" t="s">
        <v>136</v>
      </c>
      <c r="D47" s="30" t="s">
        <v>130</v>
      </c>
      <c r="E47" s="31"/>
      <c r="F47" s="29">
        <v>4130.9799999999996</v>
      </c>
      <c r="G47" s="13">
        <f t="shared" si="0"/>
        <v>-4130.9799999999996</v>
      </c>
    </row>
    <row r="48" spans="2:7" s="26" customFormat="1" ht="15.75" x14ac:dyDescent="0.25">
      <c r="B48" s="29" t="s">
        <v>137</v>
      </c>
      <c r="C48" s="30" t="s">
        <v>138</v>
      </c>
      <c r="D48" s="30" t="s">
        <v>139</v>
      </c>
      <c r="E48" s="31">
        <v>4759.21</v>
      </c>
      <c r="F48" s="29"/>
      <c r="G48" s="13">
        <f t="shared" si="0"/>
        <v>4759.21</v>
      </c>
    </row>
    <row r="49" spans="7:7" x14ac:dyDescent="0.25">
      <c r="G49" s="6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F3FAA-8ED8-4757-A170-DC506286797D}">
  <sheetPr codeName="Sheet8">
    <tabColor theme="8" tint="0.59999389629810485"/>
  </sheetPr>
  <dimension ref="B1:G33"/>
  <sheetViews>
    <sheetView showGridLines="0" workbookViewId="0"/>
  </sheetViews>
  <sheetFormatPr defaultRowHeight="15" x14ac:dyDescent="0.25"/>
  <cols>
    <col min="1" max="1" width="3.7109375" customWidth="1"/>
    <col min="2" max="2" width="7.140625" style="26" customWidth="1"/>
    <col min="3" max="3" width="10.5703125" style="26" customWidth="1"/>
    <col min="4" max="4" width="50.5703125" style="34" customWidth="1"/>
    <col min="5" max="5" width="10.5703125" style="26" customWidth="1"/>
    <col min="6" max="6" width="50.5703125" style="34" customWidth="1"/>
    <col min="7" max="7" width="50.5703125" style="26" customWidth="1"/>
  </cols>
  <sheetData>
    <row r="1" spans="2:7" s="7" customFormat="1" ht="18.75" x14ac:dyDescent="0.3">
      <c r="B1" s="7" t="str">
        <f>Name</f>
        <v>Demo Company</v>
      </c>
      <c r="D1" s="33"/>
      <c r="F1" s="33"/>
    </row>
    <row r="2" spans="2:7" s="7" customFormat="1" ht="18.75" x14ac:dyDescent="0.3">
      <c r="B2" s="7" t="str">
        <f>ReportName</f>
        <v>Management accounts for the period to 31 August 2021</v>
      </c>
      <c r="D2" s="33"/>
      <c r="F2" s="33"/>
    </row>
    <row r="3" spans="2:7" s="7" customFormat="1" ht="18.75" x14ac:dyDescent="0.3">
      <c r="B3" s="7" t="s">
        <v>142</v>
      </c>
      <c r="D3" s="33"/>
      <c r="F3" s="33"/>
    </row>
    <row r="4" spans="2:7" s="7" customFormat="1" ht="18.75" x14ac:dyDescent="0.3">
      <c r="D4" s="33"/>
      <c r="F4" s="33"/>
    </row>
    <row r="5" spans="2:7" x14ac:dyDescent="0.25">
      <c r="F5" s="35"/>
    </row>
    <row r="6" spans="2:7" x14ac:dyDescent="0.25">
      <c r="B6" s="16"/>
      <c r="C6" s="16" t="b">
        <v>1</v>
      </c>
      <c r="D6" s="2" t="s">
        <v>158</v>
      </c>
      <c r="F6" s="26"/>
    </row>
    <row r="7" spans="2:7" x14ac:dyDescent="0.25">
      <c r="F7" s="35"/>
    </row>
    <row r="8" spans="2:7" x14ac:dyDescent="0.25">
      <c r="B8" s="10" t="s">
        <v>143</v>
      </c>
      <c r="C8" s="10" t="s">
        <v>145</v>
      </c>
      <c r="D8" s="32" t="s">
        <v>161</v>
      </c>
      <c r="E8" s="10" t="s">
        <v>144</v>
      </c>
      <c r="F8" s="32" t="s">
        <v>159</v>
      </c>
      <c r="G8" s="32" t="s">
        <v>160</v>
      </c>
    </row>
    <row r="10" spans="2:7" x14ac:dyDescent="0.25">
      <c r="B10" s="11" t="s">
        <v>146</v>
      </c>
      <c r="C10" s="36">
        <v>1</v>
      </c>
      <c r="D10" s="37"/>
      <c r="E10" s="11"/>
      <c r="F10" s="38"/>
      <c r="G10" s="38"/>
    </row>
    <row r="11" spans="2:7" x14ac:dyDescent="0.25">
      <c r="G11" s="34"/>
    </row>
    <row r="12" spans="2:7" x14ac:dyDescent="0.25">
      <c r="B12" s="11" t="s">
        <v>147</v>
      </c>
      <c r="C12" s="36">
        <v>2</v>
      </c>
      <c r="D12" s="37"/>
      <c r="E12" s="11"/>
      <c r="F12" s="38"/>
      <c r="G12" s="38"/>
    </row>
    <row r="13" spans="2:7" x14ac:dyDescent="0.25">
      <c r="G13" s="34"/>
    </row>
    <row r="14" spans="2:7" x14ac:dyDescent="0.25">
      <c r="B14" s="11" t="s">
        <v>148</v>
      </c>
      <c r="C14" s="36">
        <v>3</v>
      </c>
      <c r="D14" s="37"/>
      <c r="E14" s="11"/>
      <c r="F14" s="38"/>
      <c r="G14" s="38"/>
    </row>
    <row r="15" spans="2:7" x14ac:dyDescent="0.25">
      <c r="G15" s="34"/>
    </row>
    <row r="16" spans="2:7" x14ac:dyDescent="0.25">
      <c r="B16" s="11" t="s">
        <v>149</v>
      </c>
      <c r="C16" s="36">
        <v>4</v>
      </c>
      <c r="D16" s="37"/>
      <c r="E16" s="11"/>
      <c r="F16" s="38"/>
      <c r="G16" s="38"/>
    </row>
    <row r="17" spans="2:7" x14ac:dyDescent="0.25">
      <c r="G17" s="34"/>
    </row>
    <row r="18" spans="2:7" x14ac:dyDescent="0.25">
      <c r="B18" s="39" t="s">
        <v>150</v>
      </c>
      <c r="C18" s="36">
        <v>5</v>
      </c>
      <c r="D18" s="37"/>
      <c r="E18" s="11"/>
      <c r="F18" s="38"/>
      <c r="G18" s="38"/>
    </row>
    <row r="19" spans="2:7" x14ac:dyDescent="0.25">
      <c r="G19" s="34"/>
    </row>
    <row r="20" spans="2:7" x14ac:dyDescent="0.25">
      <c r="B20" s="11" t="s">
        <v>151</v>
      </c>
      <c r="C20" s="36">
        <v>6</v>
      </c>
      <c r="D20" s="37"/>
      <c r="E20" s="11"/>
      <c r="F20" s="38"/>
      <c r="G20" s="38"/>
    </row>
    <row r="21" spans="2:7" x14ac:dyDescent="0.25">
      <c r="G21" s="34"/>
    </row>
    <row r="22" spans="2:7" x14ac:dyDescent="0.25">
      <c r="B22" s="11" t="s">
        <v>152</v>
      </c>
      <c r="C22" s="36">
        <v>7</v>
      </c>
      <c r="D22" s="37"/>
      <c r="E22" s="11"/>
      <c r="F22" s="38"/>
      <c r="G22" s="38"/>
    </row>
    <row r="23" spans="2:7" x14ac:dyDescent="0.25">
      <c r="G23" s="34"/>
    </row>
    <row r="24" spans="2:7" x14ac:dyDescent="0.25">
      <c r="B24" s="11" t="s">
        <v>153</v>
      </c>
      <c r="C24" s="36">
        <v>8</v>
      </c>
      <c r="D24" s="37"/>
      <c r="E24" s="11"/>
      <c r="F24" s="38"/>
      <c r="G24" s="38"/>
    </row>
    <row r="25" spans="2:7" x14ac:dyDescent="0.25">
      <c r="G25" s="34"/>
    </row>
    <row r="26" spans="2:7" x14ac:dyDescent="0.25">
      <c r="B26" s="11" t="s">
        <v>154</v>
      </c>
      <c r="C26" s="36">
        <v>9</v>
      </c>
      <c r="D26" s="37"/>
      <c r="E26" s="11"/>
      <c r="F26" s="38"/>
      <c r="G26" s="38"/>
    </row>
    <row r="27" spans="2:7" x14ac:dyDescent="0.25">
      <c r="G27" s="34"/>
    </row>
    <row r="28" spans="2:7" x14ac:dyDescent="0.25">
      <c r="B28" s="11" t="s">
        <v>155</v>
      </c>
      <c r="C28" s="36">
        <v>10</v>
      </c>
      <c r="D28" s="37"/>
      <c r="E28" s="11"/>
      <c r="F28" s="38"/>
      <c r="G28" s="38"/>
    </row>
    <row r="29" spans="2:7" ht="18.75" x14ac:dyDescent="0.3">
      <c r="B29" s="12"/>
      <c r="C29" s="12"/>
      <c r="G29" s="34"/>
    </row>
    <row r="30" spans="2:7" x14ac:dyDescent="0.25">
      <c r="B30" s="11" t="s">
        <v>156</v>
      </c>
      <c r="C30" s="36">
        <v>11</v>
      </c>
      <c r="D30" s="37"/>
      <c r="E30" s="11"/>
      <c r="F30" s="38"/>
      <c r="G30" s="38"/>
    </row>
    <row r="31" spans="2:7" x14ac:dyDescent="0.25">
      <c r="G31" s="34"/>
    </row>
    <row r="32" spans="2:7" x14ac:dyDescent="0.25">
      <c r="B32" s="11" t="s">
        <v>157</v>
      </c>
      <c r="C32" s="36">
        <v>12</v>
      </c>
      <c r="D32" s="37"/>
      <c r="E32" s="11"/>
      <c r="F32" s="38"/>
      <c r="G32" s="38"/>
    </row>
    <row r="33" spans="7:7" x14ac:dyDescent="0.25">
      <c r="G3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eck Box 1">
              <controlPr defaultSize="0" autoFill="0" autoLine="0" autoPict="0" macro="[0]!ReturnPlaceHolders">
                <anchor moveWithCells="1">
                  <from>
                    <xdr:col>1</xdr:col>
                    <xdr:colOff>114300</xdr:colOff>
                    <xdr:row>5</xdr:row>
                    <xdr:rowOff>0</xdr:rowOff>
                  </from>
                  <to>
                    <xdr:col>1</xdr:col>
                    <xdr:colOff>304800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D6DB-F8E4-47BE-86A9-ED9F0C6E2594}">
  <sheetPr codeName="Sheet9">
    <tabColor theme="8" tint="-0.249977111117893"/>
  </sheetPr>
  <dimension ref="B1:P31"/>
  <sheetViews>
    <sheetView showGridLines="0" workbookViewId="0"/>
  </sheetViews>
  <sheetFormatPr defaultRowHeight="15" x14ac:dyDescent="0.25"/>
  <cols>
    <col min="1" max="1" width="3.7109375" customWidth="1"/>
    <col min="2" max="2" width="21.42578125" customWidth="1"/>
    <col min="4" max="4" width="20.7109375" style="26" customWidth="1"/>
    <col min="6" max="6" width="20.7109375" style="26" customWidth="1"/>
    <col min="8" max="8" width="20.7109375" style="26" customWidth="1"/>
    <col min="10" max="10" width="20.7109375" customWidth="1"/>
    <col min="11" max="11" width="9.140625" style="26"/>
    <col min="12" max="12" width="20.7109375" style="26" customWidth="1"/>
    <col min="14" max="16" width="14.85546875" bestFit="1" customWidth="1"/>
  </cols>
  <sheetData>
    <row r="1" spans="2:16" s="7" customFormat="1" ht="18.75" x14ac:dyDescent="0.3">
      <c r="B1" s="7" t="str">
        <f>Name</f>
        <v>Demo Company</v>
      </c>
      <c r="P1" s="43" t="s">
        <v>188</v>
      </c>
    </row>
    <row r="2" spans="2:16" s="7" customFormat="1" ht="18.75" x14ac:dyDescent="0.3">
      <c r="B2" s="7" t="str">
        <f>ReportName</f>
        <v>Management accounts for the period to 31 August 2021</v>
      </c>
      <c r="N2" s="7" t="str">
        <f>MacroData!$F$7</f>
        <v/>
      </c>
      <c r="O2" s="7" t="str">
        <f>MacroData!$F$8</f>
        <v/>
      </c>
      <c r="P2" s="7" t="str">
        <f>MacroData!$F$9</f>
        <v/>
      </c>
    </row>
    <row r="3" spans="2:16" s="7" customFormat="1" ht="18.75" x14ac:dyDescent="0.3">
      <c r="B3" s="7" t="s">
        <v>215</v>
      </c>
      <c r="N3" s="44" t="str">
        <f>MacroData!$E$7</f>
        <v/>
      </c>
      <c r="O3" s="44" t="str">
        <f>MacroData!$E$8</f>
        <v/>
      </c>
      <c r="P3" s="44" t="str">
        <f>MacroData!$E$9</f>
        <v/>
      </c>
    </row>
    <row r="4" spans="2:16" s="7" customFormat="1" ht="18.75" x14ac:dyDescent="0.3"/>
    <row r="6" spans="2:16" x14ac:dyDescent="0.25">
      <c r="B6" s="42">
        <f>E1PasteExtra</f>
        <v>44439</v>
      </c>
      <c r="D6" s="11" t="s">
        <v>162</v>
      </c>
      <c r="F6" s="11" t="s">
        <v>191</v>
      </c>
      <c r="H6" s="11" t="s">
        <v>192</v>
      </c>
      <c r="J6" s="11" t="s">
        <v>193</v>
      </c>
    </row>
    <row r="7" spans="2:16" x14ac:dyDescent="0.25">
      <c r="B7" s="15">
        <f>ROUND((B6-YE0)/30.5,0)</f>
        <v>8</v>
      </c>
      <c r="D7" s="10" t="s">
        <v>124</v>
      </c>
      <c r="F7" s="10" t="s">
        <v>189</v>
      </c>
      <c r="H7" s="10" t="s">
        <v>190</v>
      </c>
      <c r="J7" s="10" t="s">
        <v>127</v>
      </c>
      <c r="L7" s="10" t="s">
        <v>140</v>
      </c>
    </row>
    <row r="8" spans="2:16" ht="15.75" thickBot="1" x14ac:dyDescent="0.3">
      <c r="B8" s="51"/>
      <c r="C8" s="26"/>
      <c r="D8" s="50"/>
      <c r="E8" s="50"/>
      <c r="F8" s="50"/>
      <c r="G8" s="50"/>
      <c r="H8" s="50"/>
      <c r="I8" s="50"/>
      <c r="J8" s="50"/>
      <c r="L8" s="50"/>
    </row>
    <row r="9" spans="2:16" s="26" customFormat="1" x14ac:dyDescent="0.25"/>
    <row r="10" spans="2:16" ht="15.75" x14ac:dyDescent="0.25">
      <c r="B10" s="2" t="s">
        <v>181</v>
      </c>
      <c r="D10" s="45">
        <f>'E2'!F14</f>
        <v>1500</v>
      </c>
      <c r="F10" s="45">
        <f>'E3'!F14</f>
        <v>20000</v>
      </c>
      <c r="H10" s="45">
        <f>'E4'!F14</f>
        <v>800</v>
      </c>
      <c r="J10" s="45">
        <f>'E5'!F14</f>
        <v>1500</v>
      </c>
      <c r="L10" s="13">
        <f>SUM(D10:K10)</f>
        <v>23800</v>
      </c>
    </row>
    <row r="12" spans="2:16" ht="15.75" x14ac:dyDescent="0.25">
      <c r="B12" s="2" t="s">
        <v>197</v>
      </c>
      <c r="D12" s="15">
        <f>'E2'!G14</f>
        <v>1000</v>
      </c>
      <c r="F12" s="15">
        <f>'E3'!G14</f>
        <v>26000</v>
      </c>
      <c r="H12" s="15">
        <f>'E4'!G14</f>
        <v>950</v>
      </c>
      <c r="J12" s="15">
        <f>'E5'!G14</f>
        <v>2700</v>
      </c>
      <c r="L12" s="13">
        <f>SUM(D12:K12)</f>
        <v>30650</v>
      </c>
    </row>
    <row r="14" spans="2:16" ht="15.75" x14ac:dyDescent="0.25">
      <c r="B14" s="2" t="s">
        <v>182</v>
      </c>
      <c r="D14" s="15">
        <f>'E2'!H14</f>
        <v>0</v>
      </c>
      <c r="F14" s="15">
        <f>'E3'!H14</f>
        <v>0</v>
      </c>
      <c r="H14" s="15">
        <f>'E4'!M14</f>
        <v>0</v>
      </c>
      <c r="J14" s="15">
        <f>'E5'!H14</f>
        <v>0</v>
      </c>
      <c r="L14" s="13">
        <f>SUM(D14:K14)</f>
        <v>0</v>
      </c>
    </row>
    <row r="16" spans="2:16" ht="15.75" x14ac:dyDescent="0.25">
      <c r="B16" s="2" t="s">
        <v>183</v>
      </c>
      <c r="D16" s="13">
        <f>SUM(D10:D15)</f>
        <v>2500</v>
      </c>
      <c r="F16" s="13">
        <f>SUM(F10:F15)</f>
        <v>46000</v>
      </c>
      <c r="H16" s="13">
        <f>SUM(H10:H15)</f>
        <v>1750</v>
      </c>
      <c r="J16" s="13">
        <f>SUM(J10:J15)</f>
        <v>4200</v>
      </c>
      <c r="L16" s="13">
        <f>SUM(D16:K16)</f>
        <v>54450</v>
      </c>
    </row>
    <row r="17" spans="2:12" ht="15.75" thickBot="1" x14ac:dyDescent="0.3">
      <c r="B17" s="51"/>
      <c r="C17" s="26"/>
      <c r="D17" s="50"/>
      <c r="E17" s="50"/>
      <c r="F17" s="50"/>
      <c r="G17" s="50"/>
      <c r="H17" s="50"/>
      <c r="I17" s="50"/>
      <c r="J17" s="50"/>
      <c r="L17" s="50"/>
    </row>
    <row r="18" spans="2:12" s="26" customFormat="1" x14ac:dyDescent="0.25"/>
    <row r="19" spans="2:12" ht="15.75" x14ac:dyDescent="0.25">
      <c r="B19" s="2" t="s">
        <v>184</v>
      </c>
      <c r="D19" s="45">
        <f>'E2'!K14</f>
        <v>300</v>
      </c>
      <c r="F19" s="45">
        <f>'E3'!K14</f>
        <v>10750</v>
      </c>
      <c r="H19" s="45">
        <f>'E4'!K14</f>
        <v>155</v>
      </c>
      <c r="J19" s="45">
        <f>'E5'!K14</f>
        <v>447.91666666666663</v>
      </c>
      <c r="L19" s="13">
        <f>SUM(D19:K19)</f>
        <v>11652.916666666666</v>
      </c>
    </row>
    <row r="21" spans="2:12" ht="15.75" x14ac:dyDescent="0.25">
      <c r="B21" s="2" t="s">
        <v>185</v>
      </c>
      <c r="D21" s="15">
        <f>'E2'!L14</f>
        <v>130</v>
      </c>
      <c r="F21" s="15">
        <f>'E3'!L14</f>
        <v>3974.9999999999995</v>
      </c>
      <c r="H21" s="15">
        <f>'E4'!L14</f>
        <v>80.833333333333343</v>
      </c>
      <c r="J21" s="15">
        <f>'E5'!L14</f>
        <v>418.75</v>
      </c>
      <c r="L21" s="13">
        <f>SUM(D21:K21)</f>
        <v>4604.583333333333</v>
      </c>
    </row>
    <row r="23" spans="2:12" ht="15.75" x14ac:dyDescent="0.25">
      <c r="B23" s="2" t="s">
        <v>186</v>
      </c>
      <c r="D23" s="15">
        <f>'E2'!M14</f>
        <v>0</v>
      </c>
      <c r="F23" s="15">
        <f>'E3'!M14</f>
        <v>0</v>
      </c>
      <c r="H23" s="15">
        <f>'E4'!M14</f>
        <v>0</v>
      </c>
      <c r="J23" s="15">
        <f>'E5'!M14</f>
        <v>0</v>
      </c>
      <c r="L23" s="13">
        <f>SUM(D23:K23)</f>
        <v>0</v>
      </c>
    </row>
    <row r="25" spans="2:12" ht="15.75" x14ac:dyDescent="0.25">
      <c r="B25" s="2" t="s">
        <v>187</v>
      </c>
      <c r="D25" s="13">
        <f>SUM(D19:D24)</f>
        <v>430</v>
      </c>
      <c r="F25" s="13">
        <f>SUM(F19:F24)</f>
        <v>14725</v>
      </c>
      <c r="H25" s="13">
        <f>SUM(H19:H24)</f>
        <v>235.83333333333334</v>
      </c>
      <c r="J25" s="13">
        <f>SUM(J19:J24)</f>
        <v>866.66666666666663</v>
      </c>
      <c r="L25" s="13">
        <f>SUM(D25:K25)</f>
        <v>16257.5</v>
      </c>
    </row>
    <row r="26" spans="2:12" ht="15.75" thickBot="1" x14ac:dyDescent="0.3">
      <c r="B26" s="51"/>
      <c r="D26" s="50"/>
      <c r="E26" s="50"/>
      <c r="F26" s="50"/>
      <c r="G26" s="50"/>
      <c r="H26" s="50"/>
      <c r="I26" s="50"/>
      <c r="J26" s="50"/>
      <c r="L26" s="50"/>
    </row>
    <row r="27" spans="2:12" s="26" customFormat="1" x14ac:dyDescent="0.25"/>
    <row r="28" spans="2:12" ht="15.75" x14ac:dyDescent="0.25">
      <c r="B28" s="2" t="str">
        <f>"NBV at "&amp;TEXT(ReportingMonth,"mmm yyyy")</f>
        <v>NBV at Aug 2021</v>
      </c>
      <c r="D28" s="13">
        <f>D16-D25</f>
        <v>2070</v>
      </c>
      <c r="F28" s="13">
        <f>F16-F25</f>
        <v>31275</v>
      </c>
      <c r="H28" s="13">
        <f>H16-H25</f>
        <v>1514.1666666666667</v>
      </c>
      <c r="J28" s="13">
        <f>J16-J25</f>
        <v>3333.3333333333335</v>
      </c>
      <c r="L28" s="13">
        <f>SUM(D28:K28)</f>
        <v>38192.5</v>
      </c>
    </row>
    <row r="30" spans="2:12" ht="15.75" x14ac:dyDescent="0.25">
      <c r="B30" s="2" t="str">
        <f>"NBV at "&amp;TEXT(YE0,"mmm yyyy")</f>
        <v>NBV at Dec 2020</v>
      </c>
      <c r="D30" s="45">
        <f>D10-D19</f>
        <v>1200</v>
      </c>
      <c r="F30" s="45">
        <f>F10-F19</f>
        <v>9250</v>
      </c>
      <c r="H30" s="45">
        <f>H10-H19</f>
        <v>645</v>
      </c>
      <c r="J30" s="45">
        <f>J10-J19</f>
        <v>1052.0833333333335</v>
      </c>
      <c r="L30" s="13">
        <f>SUM(D30:K30)</f>
        <v>12147.083333333334</v>
      </c>
    </row>
    <row r="31" spans="2:12" ht="15.75" thickBot="1" x14ac:dyDescent="0.3">
      <c r="B31" s="51"/>
      <c r="C31" s="26"/>
      <c r="D31" s="50"/>
      <c r="E31" s="50"/>
      <c r="F31" s="50"/>
      <c r="G31" s="50"/>
      <c r="H31" s="50"/>
      <c r="I31" s="50"/>
      <c r="J31" s="50"/>
      <c r="L31" s="50"/>
    </row>
  </sheetData>
  <sheetProtection algorithmName="SHA-512" hashValue="6zryT/Sf/0HE2eO/GpCIYy1iL8qUvHubPvOOSuvG71ssawUavQErjSAczD71xannF3KzKnjZJDC3T+y8p0S/gw==" saltValue="jspcn1TVi1CTO7vYWtNlhg==" spinCount="100000" sheet="1" objects="1" scenarios="1"/>
  <hyperlinks>
    <hyperlink ref="D6" location="Ref_E2_E1" display="E2" xr:uid="{F9BBDF26-1DD6-4147-AC7A-0E7FE8F5E74E}"/>
    <hyperlink ref="F6" location="Ref_E3_E1" display="E3" xr:uid="{88DD9255-3274-4ABD-9F2F-E982C901BB48}"/>
    <hyperlink ref="H6" location="Ref_E4_E1" display="E4" xr:uid="{C3069965-84B8-4040-A374-CC4FF04E2C61}"/>
    <hyperlink ref="J6" location="Ref_E5_E1" display="E5" xr:uid="{2813834B-E132-4C36-91C0-005A4FD1DED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B6BA-1D92-4689-A462-00612B583E5E}">
  <sheetPr codeName="Sheet10">
    <tabColor theme="8" tint="0.59999389629810485"/>
  </sheetPr>
  <dimension ref="B1:S33"/>
  <sheetViews>
    <sheetView showGridLines="0" workbookViewId="0"/>
  </sheetViews>
  <sheetFormatPr defaultRowHeight="15" x14ac:dyDescent="0.25"/>
  <cols>
    <col min="1" max="1" width="3.7109375" customWidth="1"/>
    <col min="2" max="2" width="50.7109375" customWidth="1"/>
    <col min="3" max="4" width="15.7109375" customWidth="1"/>
    <col min="5" max="5" width="5.7109375" customWidth="1"/>
    <col min="6" max="9" width="15.7109375" customWidth="1"/>
    <col min="10" max="10" width="5.7109375" customWidth="1"/>
    <col min="11" max="14" width="15.7109375" customWidth="1"/>
    <col min="15" max="15" width="5.7109375" customWidth="1"/>
    <col min="16" max="18" width="15.7109375" customWidth="1"/>
    <col min="19" max="19" width="16.7109375" bestFit="1" customWidth="1"/>
  </cols>
  <sheetData>
    <row r="1" spans="2:19" s="7" customFormat="1" ht="18.75" x14ac:dyDescent="0.3">
      <c r="B1" s="7" t="str">
        <f>Name</f>
        <v>Demo Company</v>
      </c>
      <c r="R1" s="43" t="s">
        <v>162</v>
      </c>
    </row>
    <row r="2" spans="2:19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9" s="7" customFormat="1" ht="18.75" x14ac:dyDescent="0.3">
      <c r="B3" s="7" t="s">
        <v>124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9" s="7" customFormat="1" ht="18.75" x14ac:dyDescent="0.3"/>
    <row r="6" spans="2:19" s="26" customFormat="1" x14ac:dyDescent="0.25">
      <c r="B6" s="2" t="str">
        <f>"Depreciation rate used for "&amp;B3&amp;":"</f>
        <v>Depreciation rate used for Office Equipment:</v>
      </c>
      <c r="C6" s="48">
        <v>0.1</v>
      </c>
      <c r="K6" s="49"/>
    </row>
    <row r="8" spans="2:19" ht="15.75" thickBot="1" x14ac:dyDescent="0.3">
      <c r="B8" s="10" t="s">
        <v>194</v>
      </c>
      <c r="C8" s="10" t="s">
        <v>180</v>
      </c>
      <c r="D8" s="10" t="s">
        <v>195</v>
      </c>
      <c r="F8" s="10" t="s">
        <v>196</v>
      </c>
      <c r="G8" s="10" t="s">
        <v>197</v>
      </c>
      <c r="H8" s="10" t="s">
        <v>182</v>
      </c>
      <c r="I8" s="10" t="s">
        <v>198</v>
      </c>
      <c r="K8" s="10" t="s">
        <v>196</v>
      </c>
      <c r="L8" s="10" t="s">
        <v>199</v>
      </c>
      <c r="M8" s="10" t="s">
        <v>182</v>
      </c>
      <c r="N8" s="10" t="s">
        <v>198</v>
      </c>
      <c r="P8" s="10" t="s">
        <v>198</v>
      </c>
      <c r="Q8" s="10" t="s">
        <v>196</v>
      </c>
      <c r="S8" s="10" t="s">
        <v>204</v>
      </c>
    </row>
    <row r="9" spans="2:19" ht="17.25" thickTop="1" thickBot="1" x14ac:dyDescent="0.3">
      <c r="B9" s="2" t="s">
        <v>200</v>
      </c>
      <c r="C9" s="40">
        <v>43100</v>
      </c>
      <c r="D9" s="15">
        <f>IF(C9&lt;=YE0,'E1'!$B$7,ROUND(('E1'!$B$6-C9)/30.5,0))</f>
        <v>8</v>
      </c>
      <c r="F9" s="45">
        <v>1000</v>
      </c>
      <c r="G9" s="47"/>
      <c r="H9" s="47"/>
      <c r="I9" s="13">
        <f>F9+G9-H9</f>
        <v>1000</v>
      </c>
      <c r="K9" s="45">
        <v>300</v>
      </c>
      <c r="L9" s="15">
        <f>IF(S9,I9-K9,I9*($C$6/12)*D9)</f>
        <v>66.666666666666671</v>
      </c>
      <c r="M9" s="47"/>
      <c r="N9" s="13">
        <f t="shared" ref="N9:N12" si="0">K9+L9-M9</f>
        <v>366.66666666666669</v>
      </c>
      <c r="P9" s="13">
        <f>I9-N9</f>
        <v>633.33333333333326</v>
      </c>
      <c r="Q9" s="45">
        <f>F9-K9</f>
        <v>700</v>
      </c>
      <c r="S9" s="58" t="b">
        <f>(I9-K9-I9*($C$6/12)*D9)&lt;0</f>
        <v>0</v>
      </c>
    </row>
    <row r="10" spans="2:19" ht="17.25" thickTop="1" thickBot="1" x14ac:dyDescent="0.3">
      <c r="B10" s="2" t="s">
        <v>201</v>
      </c>
      <c r="C10" s="40">
        <v>44196</v>
      </c>
      <c r="D10" s="15">
        <f>IF(C10&lt;=YE0,'E1'!$B$7,ROUND(('E1'!$B$6-C10)/30.5,0))</f>
        <v>8</v>
      </c>
      <c r="F10" s="45">
        <v>500</v>
      </c>
      <c r="G10" s="47"/>
      <c r="H10" s="47"/>
      <c r="I10" s="13">
        <f>F10+G10-H10</f>
        <v>500</v>
      </c>
      <c r="K10" s="45">
        <v>0</v>
      </c>
      <c r="L10" s="15">
        <f t="shared" ref="L10:L12" si="1">IF(S10,I10-K10,I10*($C$6/12)*D10)</f>
        <v>33.333333333333336</v>
      </c>
      <c r="M10" s="47"/>
      <c r="N10" s="13">
        <f t="shared" si="0"/>
        <v>33.333333333333336</v>
      </c>
      <c r="P10" s="13">
        <f>I10-N10</f>
        <v>466.66666666666669</v>
      </c>
      <c r="Q10" s="45">
        <f t="shared" ref="Q10:Q12" si="2">F10-K10</f>
        <v>500</v>
      </c>
      <c r="S10" s="58" t="b">
        <f t="shared" ref="S10:S12" si="3">(I10-K10-I10*($C$6/12)*D10)&lt;0</f>
        <v>0</v>
      </c>
    </row>
    <row r="11" spans="2:19" ht="17.25" thickTop="1" thickBot="1" x14ac:dyDescent="0.3">
      <c r="B11" s="2" t="s">
        <v>202</v>
      </c>
      <c r="C11" s="40">
        <v>44304</v>
      </c>
      <c r="D11" s="15">
        <f>IF(C11&lt;=YE0,'E1'!$B$7,ROUND(('E1'!$B$6-C11)/30.5,0))</f>
        <v>4</v>
      </c>
      <c r="F11" s="45"/>
      <c r="G11" s="47">
        <v>600</v>
      </c>
      <c r="H11" s="47"/>
      <c r="I11" s="13">
        <f>F11+G11-H11</f>
        <v>600</v>
      </c>
      <c r="K11" s="45">
        <v>0</v>
      </c>
      <c r="L11" s="15">
        <f t="shared" si="1"/>
        <v>20</v>
      </c>
      <c r="M11" s="47"/>
      <c r="N11" s="13">
        <f t="shared" si="0"/>
        <v>20</v>
      </c>
      <c r="P11" s="13">
        <f>I11-N11</f>
        <v>580</v>
      </c>
      <c r="Q11" s="45">
        <f t="shared" si="2"/>
        <v>0</v>
      </c>
      <c r="S11" s="58" t="b">
        <f t="shared" si="3"/>
        <v>0</v>
      </c>
    </row>
    <row r="12" spans="2:19" ht="17.25" thickTop="1" thickBot="1" x14ac:dyDescent="0.3">
      <c r="B12" s="2" t="s">
        <v>203</v>
      </c>
      <c r="C12" s="40">
        <v>44352</v>
      </c>
      <c r="D12" s="15">
        <f>IF(C12&lt;=YE0,'E1'!$B$7,ROUND(('E1'!$B$6-C12)/30.5,0))</f>
        <v>3</v>
      </c>
      <c r="F12" s="45"/>
      <c r="G12" s="47">
        <v>400</v>
      </c>
      <c r="H12" s="47"/>
      <c r="I12" s="13">
        <f>F12+G12-H12</f>
        <v>400</v>
      </c>
      <c r="K12" s="45">
        <v>0</v>
      </c>
      <c r="L12" s="15">
        <f t="shared" si="1"/>
        <v>10</v>
      </c>
      <c r="M12" s="47"/>
      <c r="N12" s="13">
        <f t="shared" si="0"/>
        <v>10</v>
      </c>
      <c r="P12" s="13">
        <f>I12-N12</f>
        <v>390</v>
      </c>
      <c r="Q12" s="45">
        <f t="shared" si="2"/>
        <v>0</v>
      </c>
      <c r="S12" s="58" t="b">
        <f t="shared" si="3"/>
        <v>0</v>
      </c>
    </row>
    <row r="13" spans="2:19" ht="15.75" thickTop="1" x14ac:dyDescent="0.25"/>
    <row r="14" spans="2:19" ht="15.75" x14ac:dyDescent="0.25">
      <c r="E14" s="11" t="s">
        <v>188</v>
      </c>
      <c r="F14" s="13">
        <f>SUM(F9:F13)</f>
        <v>1500</v>
      </c>
      <c r="G14" s="13">
        <f>SUM(G9:G13)</f>
        <v>1000</v>
      </c>
      <c r="H14" s="13">
        <f>SUM(H9:H13)</f>
        <v>0</v>
      </c>
      <c r="I14" s="13">
        <f>SUM(I9:I13)</f>
        <v>2500</v>
      </c>
      <c r="K14" s="13">
        <f>SUM(K9:K13)</f>
        <v>300</v>
      </c>
      <c r="L14" s="13">
        <f>SUM(L9:L13)</f>
        <v>130</v>
      </c>
      <c r="M14" s="13">
        <f>SUM(M9:M13)</f>
        <v>0</v>
      </c>
      <c r="N14" s="13">
        <f>SUM(N9:N13)</f>
        <v>430</v>
      </c>
      <c r="P14" s="13">
        <f>SUM(P9:P13)</f>
        <v>2070</v>
      </c>
      <c r="Q14" s="13">
        <f>SUM(Q9:Q13)</f>
        <v>1200</v>
      </c>
    </row>
    <row r="33" spans="4:4" x14ac:dyDescent="0.25">
      <c r="D33" s="67"/>
    </row>
  </sheetData>
  <hyperlinks>
    <hyperlink ref="E14" location="Ref_E1_E2" display="E1" xr:uid="{416A7F74-BDE8-47CA-99B5-D2404DB718F1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574E1-452E-487A-91DF-73241207FF6D}">
  <sheetPr codeName="Sheet11">
    <tabColor theme="8" tint="0.59999389629810485"/>
  </sheetPr>
  <dimension ref="B1:S14"/>
  <sheetViews>
    <sheetView showGridLines="0" workbookViewId="0"/>
  </sheetViews>
  <sheetFormatPr defaultRowHeight="15" x14ac:dyDescent="0.25"/>
  <cols>
    <col min="1" max="1" width="3.7109375" style="26" customWidth="1"/>
    <col min="2" max="2" width="50.7109375" style="26" customWidth="1"/>
    <col min="3" max="4" width="15.7109375" style="26" customWidth="1"/>
    <col min="5" max="5" width="5.7109375" style="26" customWidth="1"/>
    <col min="6" max="9" width="15.7109375" style="26" customWidth="1"/>
    <col min="10" max="10" width="5.7109375" style="26" customWidth="1"/>
    <col min="11" max="14" width="15.7109375" style="26" customWidth="1"/>
    <col min="15" max="15" width="5.7109375" style="26" customWidth="1"/>
    <col min="16" max="18" width="15.7109375" style="26" customWidth="1"/>
    <col min="19" max="19" width="16.7109375" style="26" bestFit="1" customWidth="1"/>
    <col min="20" max="16384" width="9.140625" style="26"/>
  </cols>
  <sheetData>
    <row r="1" spans="2:19" s="7" customFormat="1" ht="18.75" x14ac:dyDescent="0.3">
      <c r="B1" s="7" t="str">
        <f>Name</f>
        <v>Demo Company</v>
      </c>
      <c r="R1" s="43" t="s">
        <v>191</v>
      </c>
    </row>
    <row r="2" spans="2:19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66" t="str">
        <f>MacroData!$F$9</f>
        <v/>
      </c>
    </row>
    <row r="3" spans="2:19" s="7" customFormat="1" ht="18.75" x14ac:dyDescent="0.3">
      <c r="B3" s="7" t="s">
        <v>189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9" s="7" customFormat="1" ht="18.75" x14ac:dyDescent="0.3"/>
    <row r="6" spans="2:19" x14ac:dyDescent="0.25">
      <c r="B6" s="2" t="str">
        <f>"Depreciation rate used for "&amp;B3&amp;":"</f>
        <v>Depreciation rate used for Plant &amp; Machinery:</v>
      </c>
      <c r="C6" s="48">
        <v>0.15</v>
      </c>
      <c r="K6" s="49"/>
    </row>
    <row r="8" spans="2:19" ht="15.75" thickBot="1" x14ac:dyDescent="0.3">
      <c r="B8" s="10" t="s">
        <v>194</v>
      </c>
      <c r="C8" s="10" t="s">
        <v>180</v>
      </c>
      <c r="D8" s="10" t="s">
        <v>195</v>
      </c>
      <c r="F8" s="10" t="s">
        <v>196</v>
      </c>
      <c r="G8" s="10" t="s">
        <v>197</v>
      </c>
      <c r="H8" s="10" t="s">
        <v>182</v>
      </c>
      <c r="I8" s="10" t="s">
        <v>198</v>
      </c>
      <c r="K8" s="10" t="s">
        <v>196</v>
      </c>
      <c r="L8" s="10" t="s">
        <v>199</v>
      </c>
      <c r="M8" s="10" t="s">
        <v>182</v>
      </c>
      <c r="N8" s="10" t="s">
        <v>198</v>
      </c>
      <c r="P8" s="10" t="s">
        <v>198</v>
      </c>
      <c r="Q8" s="10" t="s">
        <v>196</v>
      </c>
      <c r="S8" s="10" t="s">
        <v>204</v>
      </c>
    </row>
    <row r="9" spans="2:19" ht="17.25" thickTop="1" thickBot="1" x14ac:dyDescent="0.3">
      <c r="B9" s="2" t="s">
        <v>200</v>
      </c>
      <c r="C9" s="40">
        <v>42891</v>
      </c>
      <c r="D9" s="15">
        <f>IF(C9&lt;=YE0,'E1'!$B$7,ROUND(('E1'!$B$6-C9)/30.5,0))</f>
        <v>8</v>
      </c>
      <c r="F9" s="45">
        <v>20000</v>
      </c>
      <c r="G9" s="47"/>
      <c r="H9" s="47"/>
      <c r="I9" s="13">
        <f>F9+G9-H9</f>
        <v>20000</v>
      </c>
      <c r="K9" s="45">
        <v>10750</v>
      </c>
      <c r="L9" s="15">
        <f>IF(S9,I9-K9,I9*($C$6/12)*D9)</f>
        <v>1999.9999999999998</v>
      </c>
      <c r="M9" s="47"/>
      <c r="N9" s="13">
        <f t="shared" ref="N9:N12" si="0">K9+L9-M9</f>
        <v>12750</v>
      </c>
      <c r="P9" s="13">
        <f>I9-N9</f>
        <v>7250</v>
      </c>
      <c r="Q9" s="45">
        <f>F9-K9</f>
        <v>9250</v>
      </c>
      <c r="S9" s="58" t="b">
        <f>(I9-K9-I9*($C$6/12)*D9)&lt;0</f>
        <v>0</v>
      </c>
    </row>
    <row r="10" spans="2:19" ht="17.25" thickTop="1" thickBot="1" x14ac:dyDescent="0.3">
      <c r="B10" s="2" t="s">
        <v>201</v>
      </c>
      <c r="C10" s="40">
        <v>44196</v>
      </c>
      <c r="D10" s="15">
        <f>IF(C10&lt;=YE0,'E1'!$B$7,ROUND(('E1'!$B$6-C10)/30.5,0))</f>
        <v>8</v>
      </c>
      <c r="F10" s="45"/>
      <c r="G10" s="47">
        <v>15000</v>
      </c>
      <c r="H10" s="47"/>
      <c r="I10" s="13">
        <f>F10+G10-H10</f>
        <v>15000</v>
      </c>
      <c r="K10" s="45">
        <v>0</v>
      </c>
      <c r="L10" s="15">
        <f t="shared" ref="L10:L12" si="1">IF(S10,I10-K10,I10*($C$6/12)*D10)</f>
        <v>1499.9999999999998</v>
      </c>
      <c r="M10" s="47"/>
      <c r="N10" s="13">
        <f t="shared" si="0"/>
        <v>1499.9999999999998</v>
      </c>
      <c r="P10" s="13">
        <f>I10-N10</f>
        <v>13500</v>
      </c>
      <c r="Q10" s="45">
        <f t="shared" ref="Q10:Q12" si="2">F10-K10</f>
        <v>0</v>
      </c>
      <c r="S10" s="58" t="b">
        <f t="shared" ref="S10:S12" si="3">(I10-K10-I10*($C$6/12)*D10)&lt;0</f>
        <v>0</v>
      </c>
    </row>
    <row r="11" spans="2:19" ht="17.25" thickTop="1" thickBot="1" x14ac:dyDescent="0.3">
      <c r="B11" s="2" t="s">
        <v>202</v>
      </c>
      <c r="C11" s="40">
        <v>44304</v>
      </c>
      <c r="D11" s="15">
        <f>IF(C11&lt;=YE0,'E1'!$B$7,ROUND(('E1'!$B$6-C11)/30.5,0))</f>
        <v>4</v>
      </c>
      <c r="F11" s="45"/>
      <c r="G11" s="47">
        <v>5000</v>
      </c>
      <c r="H11" s="47"/>
      <c r="I11" s="13">
        <f>F11+G11-H11</f>
        <v>5000</v>
      </c>
      <c r="K11" s="45">
        <v>0</v>
      </c>
      <c r="L11" s="15">
        <f t="shared" si="1"/>
        <v>249.99999999999997</v>
      </c>
      <c r="M11" s="47"/>
      <c r="N11" s="13">
        <f t="shared" si="0"/>
        <v>249.99999999999997</v>
      </c>
      <c r="P11" s="13">
        <f>I11-N11</f>
        <v>4750</v>
      </c>
      <c r="Q11" s="45">
        <f t="shared" si="2"/>
        <v>0</v>
      </c>
      <c r="S11" s="58" t="b">
        <f t="shared" si="3"/>
        <v>0</v>
      </c>
    </row>
    <row r="12" spans="2:19" ht="17.25" thickTop="1" thickBot="1" x14ac:dyDescent="0.3">
      <c r="B12" s="2" t="s">
        <v>203</v>
      </c>
      <c r="C12" s="40">
        <v>44352</v>
      </c>
      <c r="D12" s="15">
        <f>IF(C12&lt;=YE0,'E1'!$B$7,ROUND(('E1'!$B$6-C12)/30.5,0))</f>
        <v>3</v>
      </c>
      <c r="F12" s="45"/>
      <c r="G12" s="47">
        <v>6000</v>
      </c>
      <c r="H12" s="47"/>
      <c r="I12" s="13">
        <f>F12+G12-H12</f>
        <v>6000</v>
      </c>
      <c r="K12" s="45">
        <v>0</v>
      </c>
      <c r="L12" s="15">
        <f t="shared" si="1"/>
        <v>225</v>
      </c>
      <c r="M12" s="47"/>
      <c r="N12" s="13">
        <f t="shared" si="0"/>
        <v>225</v>
      </c>
      <c r="P12" s="13">
        <f>I12-N12</f>
        <v>5775</v>
      </c>
      <c r="Q12" s="45">
        <f t="shared" si="2"/>
        <v>0</v>
      </c>
      <c r="S12" s="58" t="b">
        <f t="shared" si="3"/>
        <v>0</v>
      </c>
    </row>
    <row r="13" spans="2:19" ht="15.75" thickTop="1" x14ac:dyDescent="0.25"/>
    <row r="14" spans="2:19" ht="15.75" x14ac:dyDescent="0.25">
      <c r="E14" s="11" t="s">
        <v>188</v>
      </c>
      <c r="F14" s="13">
        <f>SUM(F9:F13)</f>
        <v>20000</v>
      </c>
      <c r="G14" s="13">
        <f>SUM(G9:G13)</f>
        <v>26000</v>
      </c>
      <c r="H14" s="13">
        <f>SUM(H9:H13)</f>
        <v>0</v>
      </c>
      <c r="I14" s="13">
        <f>SUM(I9:I13)</f>
        <v>46000</v>
      </c>
      <c r="K14" s="13">
        <f>SUM(K9:K13)</f>
        <v>10750</v>
      </c>
      <c r="L14" s="13">
        <f>SUM(L9:L13)</f>
        <v>3974.9999999999995</v>
      </c>
      <c r="M14" s="13">
        <f>SUM(M9:M13)</f>
        <v>0</v>
      </c>
      <c r="N14" s="13">
        <f>SUM(N9:N13)</f>
        <v>14725</v>
      </c>
      <c r="P14" s="13">
        <f>SUM(P9:P13)</f>
        <v>31275</v>
      </c>
      <c r="Q14" s="13">
        <f>SUM(Q9:Q13)</f>
        <v>9250</v>
      </c>
    </row>
  </sheetData>
  <hyperlinks>
    <hyperlink ref="E14" location="Ref_E1_E3" display="E1" xr:uid="{11555E83-4A09-4376-8FE9-41E70DDA0E3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CEA7-8BCA-4ED3-B8B7-703122ACD3F1}">
  <sheetPr codeName="Sheet12">
    <tabColor theme="8" tint="0.59999389629810485"/>
  </sheetPr>
  <dimension ref="B1:S14"/>
  <sheetViews>
    <sheetView showGridLines="0" workbookViewId="0"/>
  </sheetViews>
  <sheetFormatPr defaultRowHeight="15" x14ac:dyDescent="0.25"/>
  <cols>
    <col min="1" max="1" width="3.7109375" style="26" customWidth="1"/>
    <col min="2" max="2" width="50.7109375" style="26" customWidth="1"/>
    <col min="3" max="4" width="15.7109375" style="26" customWidth="1"/>
    <col min="5" max="5" width="5.7109375" style="26" customWidth="1"/>
    <col min="6" max="9" width="15.7109375" style="26" customWidth="1"/>
    <col min="10" max="10" width="5.7109375" style="26" customWidth="1"/>
    <col min="11" max="14" width="15.7109375" style="26" customWidth="1"/>
    <col min="15" max="15" width="5.7109375" style="26" customWidth="1"/>
    <col min="16" max="18" width="15.7109375" style="26" customWidth="1"/>
    <col min="19" max="19" width="16.7109375" style="26" bestFit="1" customWidth="1"/>
    <col min="20" max="16384" width="9.140625" style="26"/>
  </cols>
  <sheetData>
    <row r="1" spans="2:19" s="7" customFormat="1" ht="18.75" x14ac:dyDescent="0.3">
      <c r="B1" s="7" t="str">
        <f>Name</f>
        <v>Demo Company</v>
      </c>
      <c r="R1" s="43" t="s">
        <v>192</v>
      </c>
    </row>
    <row r="2" spans="2:19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9" s="7" customFormat="1" ht="18.75" x14ac:dyDescent="0.3">
      <c r="B3" s="7" t="s">
        <v>190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9" s="7" customFormat="1" ht="18.75" x14ac:dyDescent="0.3"/>
    <row r="6" spans="2:19" x14ac:dyDescent="0.25">
      <c r="B6" s="2" t="str">
        <f>"Depreciation rate used for "&amp;B3&amp;":"</f>
        <v>Depreciation rate used for Fixtures &amp; Fittings:</v>
      </c>
      <c r="C6" s="48">
        <v>0.1</v>
      </c>
      <c r="K6" s="49"/>
    </row>
    <row r="8" spans="2:19" ht="15.75" thickBot="1" x14ac:dyDescent="0.3">
      <c r="B8" s="10" t="s">
        <v>194</v>
      </c>
      <c r="C8" s="10" t="s">
        <v>180</v>
      </c>
      <c r="D8" s="10" t="s">
        <v>195</v>
      </c>
      <c r="F8" s="10" t="s">
        <v>196</v>
      </c>
      <c r="G8" s="10" t="s">
        <v>197</v>
      </c>
      <c r="H8" s="10" t="s">
        <v>182</v>
      </c>
      <c r="I8" s="10" t="s">
        <v>198</v>
      </c>
      <c r="K8" s="10" t="s">
        <v>196</v>
      </c>
      <c r="L8" s="10" t="s">
        <v>199</v>
      </c>
      <c r="M8" s="10" t="s">
        <v>182</v>
      </c>
      <c r="N8" s="10" t="s">
        <v>198</v>
      </c>
      <c r="P8" s="10" t="s">
        <v>198</v>
      </c>
      <c r="Q8" s="10" t="s">
        <v>196</v>
      </c>
      <c r="S8" s="10" t="s">
        <v>204</v>
      </c>
    </row>
    <row r="9" spans="2:19" ht="17.25" thickTop="1" thickBot="1" x14ac:dyDescent="0.3">
      <c r="B9" s="2" t="s">
        <v>200</v>
      </c>
      <c r="C9" s="40">
        <v>43251</v>
      </c>
      <c r="D9" s="15">
        <f>IF(C9&lt;=YE0,'E1'!$B$7,ROUND(('E1'!$B$6-C9)/30.5,0))</f>
        <v>8</v>
      </c>
      <c r="F9" s="45">
        <v>600</v>
      </c>
      <c r="G9" s="47"/>
      <c r="H9" s="47"/>
      <c r="I9" s="13">
        <f>F9+G9-H9</f>
        <v>600</v>
      </c>
      <c r="K9" s="45">
        <v>155</v>
      </c>
      <c r="L9" s="15">
        <f>IF(S9,I9-K9,I9*($C$6/12)*D9)</f>
        <v>40</v>
      </c>
      <c r="M9" s="47"/>
      <c r="N9" s="13">
        <f t="shared" ref="N9:N12" si="0">K9+L9-M9</f>
        <v>195</v>
      </c>
      <c r="P9" s="13">
        <f>I9-N9</f>
        <v>405</v>
      </c>
      <c r="Q9" s="45">
        <f>F9-K9</f>
        <v>445</v>
      </c>
      <c r="S9" s="58" t="b">
        <f>(I9-K9-I9*($C$6/12)*D9)&lt;0</f>
        <v>0</v>
      </c>
    </row>
    <row r="10" spans="2:19" ht="17.25" thickTop="1" thickBot="1" x14ac:dyDescent="0.3">
      <c r="B10" s="2" t="s">
        <v>201</v>
      </c>
      <c r="C10" s="40">
        <v>44196</v>
      </c>
      <c r="D10" s="15">
        <f>IF(C10&lt;=YE0,'E1'!$B$7,ROUND(('E1'!$B$6-C10)/30.5,0))</f>
        <v>8</v>
      </c>
      <c r="F10" s="45">
        <v>200</v>
      </c>
      <c r="G10" s="47"/>
      <c r="H10" s="47"/>
      <c r="I10" s="13">
        <f>F10+G10-H10</f>
        <v>200</v>
      </c>
      <c r="K10" s="45">
        <v>0</v>
      </c>
      <c r="L10" s="15">
        <f t="shared" ref="L10:L12" si="1">IF(S10,I10-K10,I10*($C$6/12)*D10)</f>
        <v>13.333333333333334</v>
      </c>
      <c r="M10" s="47"/>
      <c r="N10" s="13">
        <f t="shared" si="0"/>
        <v>13.333333333333334</v>
      </c>
      <c r="P10" s="13">
        <f>I10-N10</f>
        <v>186.66666666666666</v>
      </c>
      <c r="Q10" s="45">
        <f t="shared" ref="Q10:Q12" si="2">F10-K10</f>
        <v>200</v>
      </c>
      <c r="S10" s="58" t="b">
        <f t="shared" ref="S10:S12" si="3">(I10-K10-I10*($C$6/12)*D10)&lt;0</f>
        <v>0</v>
      </c>
    </row>
    <row r="11" spans="2:19" ht="17.25" thickTop="1" thickBot="1" x14ac:dyDescent="0.3">
      <c r="B11" s="2" t="s">
        <v>202</v>
      </c>
      <c r="C11" s="40">
        <v>44304</v>
      </c>
      <c r="D11" s="15">
        <f>IF(C11&lt;=YE0,'E1'!$B$7,ROUND(('E1'!$B$6-C11)/30.5,0))</f>
        <v>4</v>
      </c>
      <c r="F11" s="45"/>
      <c r="G11" s="47">
        <v>450</v>
      </c>
      <c r="H11" s="47"/>
      <c r="I11" s="13">
        <f>F11+G11-H11</f>
        <v>450</v>
      </c>
      <c r="K11" s="45">
        <v>0</v>
      </c>
      <c r="L11" s="15">
        <f t="shared" si="1"/>
        <v>15</v>
      </c>
      <c r="M11" s="47"/>
      <c r="N11" s="13">
        <f t="shared" si="0"/>
        <v>15</v>
      </c>
      <c r="P11" s="13">
        <f>I11-N11</f>
        <v>435</v>
      </c>
      <c r="Q11" s="45">
        <f t="shared" si="2"/>
        <v>0</v>
      </c>
      <c r="S11" s="58" t="b">
        <f t="shared" si="3"/>
        <v>0</v>
      </c>
    </row>
    <row r="12" spans="2:19" ht="17.25" thickTop="1" thickBot="1" x14ac:dyDescent="0.3">
      <c r="B12" s="2" t="s">
        <v>203</v>
      </c>
      <c r="C12" s="40">
        <v>44352</v>
      </c>
      <c r="D12" s="15">
        <f>IF(C12&lt;=YE0,'E1'!$B$7,ROUND(('E1'!$B$6-C12)/30.5,0))</f>
        <v>3</v>
      </c>
      <c r="F12" s="45"/>
      <c r="G12" s="47">
        <v>500</v>
      </c>
      <c r="H12" s="47"/>
      <c r="I12" s="13">
        <f>F12+G12-H12</f>
        <v>500</v>
      </c>
      <c r="K12" s="45">
        <v>0</v>
      </c>
      <c r="L12" s="15">
        <f t="shared" si="1"/>
        <v>12.5</v>
      </c>
      <c r="M12" s="47"/>
      <c r="N12" s="13">
        <f t="shared" si="0"/>
        <v>12.5</v>
      </c>
      <c r="P12" s="13">
        <f>I12-N12</f>
        <v>487.5</v>
      </c>
      <c r="Q12" s="45">
        <f t="shared" si="2"/>
        <v>0</v>
      </c>
      <c r="S12" s="58" t="b">
        <f t="shared" si="3"/>
        <v>0</v>
      </c>
    </row>
    <row r="13" spans="2:19" ht="15.75" thickTop="1" x14ac:dyDescent="0.25"/>
    <row r="14" spans="2:19" ht="15.75" x14ac:dyDescent="0.25">
      <c r="E14" s="11" t="s">
        <v>188</v>
      </c>
      <c r="F14" s="13">
        <f>SUM(F9:F13)</f>
        <v>800</v>
      </c>
      <c r="G14" s="13">
        <f>SUM(G9:G13)</f>
        <v>950</v>
      </c>
      <c r="H14" s="13">
        <f>SUM(H9:H13)</f>
        <v>0</v>
      </c>
      <c r="I14" s="13">
        <f>SUM(I9:I13)</f>
        <v>1750</v>
      </c>
      <c r="K14" s="13">
        <f>SUM(K9:K13)</f>
        <v>155</v>
      </c>
      <c r="L14" s="13">
        <f>SUM(L9:L13)</f>
        <v>80.833333333333343</v>
      </c>
      <c r="M14" s="13">
        <f>SUM(M9:M13)</f>
        <v>0</v>
      </c>
      <c r="N14" s="13">
        <f>SUM(N9:N13)</f>
        <v>235.83333333333334</v>
      </c>
      <c r="P14" s="13">
        <f>SUM(P9:P13)</f>
        <v>1514.1666666666665</v>
      </c>
      <c r="Q14" s="13">
        <f>SUM(Q9:Q13)</f>
        <v>645</v>
      </c>
    </row>
  </sheetData>
  <hyperlinks>
    <hyperlink ref="E14" location="Ref_E1_E4" display="E1" xr:uid="{F2EFB944-3D1C-4288-84BB-1AAB04679FB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3CEAB-D5DC-46E5-B116-7847714046CC}">
  <sheetPr codeName="Sheet17">
    <tabColor theme="8" tint="0.59999389629810485"/>
  </sheetPr>
  <dimension ref="B1:S14"/>
  <sheetViews>
    <sheetView showGridLines="0" workbookViewId="0"/>
  </sheetViews>
  <sheetFormatPr defaultRowHeight="15" x14ac:dyDescent="0.25"/>
  <cols>
    <col min="1" max="1" width="3.7109375" style="26" customWidth="1"/>
    <col min="2" max="2" width="50.7109375" style="26" customWidth="1"/>
    <col min="3" max="4" width="15.7109375" style="26" customWidth="1"/>
    <col min="5" max="5" width="5.7109375" style="26" customWidth="1"/>
    <col min="6" max="9" width="15.7109375" style="26" customWidth="1"/>
    <col min="10" max="10" width="5.7109375" style="26" customWidth="1"/>
    <col min="11" max="14" width="15.7109375" style="26" customWidth="1"/>
    <col min="15" max="15" width="5.7109375" style="26" customWidth="1"/>
    <col min="16" max="18" width="15.7109375" style="26" customWidth="1"/>
    <col min="19" max="19" width="16.7109375" style="26" bestFit="1" customWidth="1"/>
    <col min="20" max="16384" width="9.140625" style="26"/>
  </cols>
  <sheetData>
    <row r="1" spans="2:19" s="7" customFormat="1" ht="18.75" x14ac:dyDescent="0.3">
      <c r="B1" s="7" t="str">
        <f>Name</f>
        <v>Demo Company</v>
      </c>
      <c r="R1" s="43" t="s">
        <v>193</v>
      </c>
    </row>
    <row r="2" spans="2:19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9" s="7" customFormat="1" ht="18.75" x14ac:dyDescent="0.3">
      <c r="B3" s="7" t="s">
        <v>127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9" s="7" customFormat="1" ht="18.75" x14ac:dyDescent="0.3"/>
    <row r="6" spans="2:19" x14ac:dyDescent="0.25">
      <c r="B6" s="2" t="str">
        <f>"Depreciation rate used for "&amp;B3&amp;":"</f>
        <v>Depreciation rate used for Computer Equipment:</v>
      </c>
      <c r="C6" s="48">
        <v>0.25</v>
      </c>
      <c r="K6" s="49"/>
    </row>
    <row r="8" spans="2:19" ht="15.75" thickBot="1" x14ac:dyDescent="0.3">
      <c r="B8" s="10" t="s">
        <v>194</v>
      </c>
      <c r="C8" s="10" t="s">
        <v>180</v>
      </c>
      <c r="D8" s="10" t="s">
        <v>195</v>
      </c>
      <c r="F8" s="10" t="s">
        <v>196</v>
      </c>
      <c r="G8" s="10" t="s">
        <v>197</v>
      </c>
      <c r="H8" s="10" t="s">
        <v>182</v>
      </c>
      <c r="I8" s="10" t="s">
        <v>198</v>
      </c>
      <c r="K8" s="10" t="s">
        <v>196</v>
      </c>
      <c r="L8" s="10" t="s">
        <v>199</v>
      </c>
      <c r="M8" s="10" t="s">
        <v>182</v>
      </c>
      <c r="N8" s="10" t="s">
        <v>198</v>
      </c>
      <c r="P8" s="10" t="s">
        <v>198</v>
      </c>
      <c r="Q8" s="10" t="s">
        <v>196</v>
      </c>
      <c r="S8" s="10" t="s">
        <v>204</v>
      </c>
    </row>
    <row r="9" spans="2:19" ht="17.25" thickTop="1" thickBot="1" x14ac:dyDescent="0.3">
      <c r="B9" s="2" t="s">
        <v>200</v>
      </c>
      <c r="C9" s="40">
        <v>42874</v>
      </c>
      <c r="D9" s="15">
        <f>IF(C9&lt;=YE0,'E1'!$B$7,ROUND(('E1'!$B$6-C9)/30.5,0))</f>
        <v>8</v>
      </c>
      <c r="F9" s="45">
        <v>500</v>
      </c>
      <c r="G9" s="47"/>
      <c r="H9" s="47"/>
      <c r="I9" s="13">
        <f>F9+G9-H9</f>
        <v>500</v>
      </c>
      <c r="K9" s="45">
        <v>447.91666666666663</v>
      </c>
      <c r="L9" s="15">
        <f>IF(S9,I9-K9,I9*($C$6/12)*D9)</f>
        <v>52.083333333333371</v>
      </c>
      <c r="M9" s="47"/>
      <c r="N9" s="13">
        <f t="shared" ref="N9:N12" si="0">K9+L9-M9</f>
        <v>500</v>
      </c>
      <c r="P9" s="13">
        <f>I9-N9</f>
        <v>0</v>
      </c>
      <c r="Q9" s="45">
        <f>F9-K9</f>
        <v>52.083333333333371</v>
      </c>
      <c r="S9" s="58" t="b">
        <f>(I9-K9-I9*($C$6/12)*D9)&lt;0</f>
        <v>1</v>
      </c>
    </row>
    <row r="10" spans="2:19" ht="17.25" thickTop="1" thickBot="1" x14ac:dyDescent="0.3">
      <c r="B10" s="2" t="s">
        <v>201</v>
      </c>
      <c r="C10" s="40">
        <v>44196</v>
      </c>
      <c r="D10" s="15">
        <f>IF(C10&lt;=YE0,'E1'!$B$7,ROUND(('E1'!$B$6-C10)/30.5,0))</f>
        <v>8</v>
      </c>
      <c r="F10" s="45">
        <v>1000</v>
      </c>
      <c r="G10" s="47"/>
      <c r="H10" s="47"/>
      <c r="I10" s="13">
        <f>F10+G10-H10</f>
        <v>1000</v>
      </c>
      <c r="K10" s="45">
        <v>0</v>
      </c>
      <c r="L10" s="15">
        <f t="shared" ref="L10:L12" si="1">IF(S10,I10-K10,I10*($C$6/12)*D10)</f>
        <v>166.66666666666666</v>
      </c>
      <c r="M10" s="47"/>
      <c r="N10" s="13">
        <f t="shared" si="0"/>
        <v>166.66666666666666</v>
      </c>
      <c r="P10" s="13">
        <f>I10-N10</f>
        <v>833.33333333333337</v>
      </c>
      <c r="Q10" s="45">
        <f t="shared" ref="Q10:Q12" si="2">F10-K10</f>
        <v>1000</v>
      </c>
      <c r="S10" s="58" t="b">
        <f t="shared" ref="S10:S12" si="3">(I10-K10-I10*($C$6/12)*D10)&lt;0</f>
        <v>0</v>
      </c>
    </row>
    <row r="11" spans="2:19" ht="17.25" thickTop="1" thickBot="1" x14ac:dyDescent="0.3">
      <c r="B11" s="2" t="s">
        <v>202</v>
      </c>
      <c r="C11" s="40">
        <v>44304</v>
      </c>
      <c r="D11" s="15">
        <f>IF(C11&lt;=YE0,'E1'!$B$7,ROUND(('E1'!$B$6-C11)/30.5,0))</f>
        <v>4</v>
      </c>
      <c r="F11" s="45"/>
      <c r="G11" s="47">
        <v>1500</v>
      </c>
      <c r="H11" s="47"/>
      <c r="I11" s="13">
        <f>F11+G11-H11</f>
        <v>1500</v>
      </c>
      <c r="K11" s="45">
        <v>0</v>
      </c>
      <c r="L11" s="15">
        <f t="shared" si="1"/>
        <v>125</v>
      </c>
      <c r="M11" s="47"/>
      <c r="N11" s="13">
        <f t="shared" si="0"/>
        <v>125</v>
      </c>
      <c r="P11" s="13">
        <f>I11-N11</f>
        <v>1375</v>
      </c>
      <c r="Q11" s="45">
        <f t="shared" si="2"/>
        <v>0</v>
      </c>
      <c r="S11" s="58" t="b">
        <f t="shared" si="3"/>
        <v>0</v>
      </c>
    </row>
    <row r="12" spans="2:19" ht="17.25" thickTop="1" thickBot="1" x14ac:dyDescent="0.3">
      <c r="B12" s="2" t="s">
        <v>203</v>
      </c>
      <c r="C12" s="40">
        <v>44352</v>
      </c>
      <c r="D12" s="15">
        <f>IF(C12&lt;=YE0,'E1'!$B$7,ROUND(('E1'!$B$6-C12)/30.5,0))</f>
        <v>3</v>
      </c>
      <c r="F12" s="45"/>
      <c r="G12" s="47">
        <v>1200</v>
      </c>
      <c r="H12" s="47"/>
      <c r="I12" s="13">
        <f>F12+G12-H12</f>
        <v>1200</v>
      </c>
      <c r="K12" s="45">
        <v>0</v>
      </c>
      <c r="L12" s="15">
        <f t="shared" si="1"/>
        <v>75</v>
      </c>
      <c r="M12" s="47"/>
      <c r="N12" s="13">
        <f t="shared" si="0"/>
        <v>75</v>
      </c>
      <c r="P12" s="13">
        <f>I12-N12</f>
        <v>1125</v>
      </c>
      <c r="Q12" s="45">
        <f t="shared" si="2"/>
        <v>0</v>
      </c>
      <c r="S12" s="58" t="b">
        <f t="shared" si="3"/>
        <v>0</v>
      </c>
    </row>
    <row r="13" spans="2:19" ht="15.75" thickTop="1" x14ac:dyDescent="0.25"/>
    <row r="14" spans="2:19" ht="15.75" x14ac:dyDescent="0.25">
      <c r="E14" s="11" t="s">
        <v>188</v>
      </c>
      <c r="F14" s="13">
        <f>SUM(F9:F13)</f>
        <v>1500</v>
      </c>
      <c r="G14" s="13">
        <f>SUM(G9:G13)</f>
        <v>2700</v>
      </c>
      <c r="H14" s="13">
        <f>SUM(H9:H13)</f>
        <v>0</v>
      </c>
      <c r="I14" s="13">
        <f>SUM(I9:I13)</f>
        <v>4200</v>
      </c>
      <c r="K14" s="13">
        <f>SUM(K9:K13)</f>
        <v>447.91666666666663</v>
      </c>
      <c r="L14" s="13">
        <f>SUM(L9:L13)</f>
        <v>418.75</v>
      </c>
      <c r="M14" s="13">
        <f>SUM(M9:M13)</f>
        <v>0</v>
      </c>
      <c r="N14" s="13">
        <f>SUM(N9:N13)</f>
        <v>866.66666666666663</v>
      </c>
      <c r="P14" s="13">
        <f>SUM(P9:P13)</f>
        <v>3333.3333333333335</v>
      </c>
      <c r="Q14" s="13">
        <f>SUM(Q9:Q13)</f>
        <v>1052.0833333333335</v>
      </c>
    </row>
  </sheetData>
  <hyperlinks>
    <hyperlink ref="E14" location="Ref_E1_E5" display="E1" xr:uid="{2BA8E7AD-A408-4A3A-A8C3-2550E2E0AE8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12B6-39A3-4DC9-8707-0FD820D9B523}">
  <sheetPr codeName="Sheet13">
    <tabColor theme="8" tint="-0.249977111117893"/>
  </sheetPr>
  <dimension ref="B1:R14"/>
  <sheetViews>
    <sheetView showGridLines="0" workbookViewId="0"/>
  </sheetViews>
  <sheetFormatPr defaultRowHeight="15" x14ac:dyDescent="0.25"/>
  <cols>
    <col min="1" max="1" width="3.7109375" customWidth="1"/>
    <col min="2" max="2" width="7.42578125" customWidth="1"/>
    <col min="3" max="3" width="24.7109375" customWidth="1"/>
    <col min="4" max="4" width="5.7109375" customWidth="1"/>
    <col min="5" max="5" width="3.7109375" style="26" customWidth="1"/>
    <col min="6" max="6" width="10.7109375" customWidth="1"/>
    <col min="7" max="7" width="3.7109375" customWidth="1"/>
    <col min="8" max="8" width="10.7109375" customWidth="1"/>
    <col min="9" max="9" width="3.7109375" customWidth="1"/>
    <col min="10" max="10" width="10.7109375" customWidth="1"/>
    <col min="11" max="11" width="3.7109375" customWidth="1"/>
    <col min="12" max="12" width="10.7109375" customWidth="1"/>
    <col min="13" max="13" width="3.7109375" customWidth="1"/>
    <col min="14" max="15" width="10.7109375" customWidth="1"/>
    <col min="16" max="18" width="15.7109375" customWidth="1"/>
  </cols>
  <sheetData>
    <row r="1" spans="2:18" s="7" customFormat="1" ht="18.75" x14ac:dyDescent="0.3">
      <c r="B1" s="7" t="str">
        <f>Name</f>
        <v>Demo Company</v>
      </c>
      <c r="R1" s="43" t="s">
        <v>163</v>
      </c>
    </row>
    <row r="2" spans="2:18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8" s="7" customFormat="1" ht="18.75" x14ac:dyDescent="0.3">
      <c r="B3" s="7" t="s">
        <v>214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8" s="7" customFormat="1" ht="18.75" x14ac:dyDescent="0.3"/>
    <row r="5" spans="2:18" s="26" customFormat="1" x14ac:dyDescent="0.25"/>
    <row r="6" spans="2:18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  <c r="N6" s="10" t="s">
        <v>213</v>
      </c>
    </row>
    <row r="7" spans="2:18" s="26" customFormat="1" ht="15.75" thickBot="1" x14ac:dyDescent="0.3"/>
    <row r="8" spans="2:18" s="26" customFormat="1" ht="17.25" thickTop="1" thickBot="1" x14ac:dyDescent="0.3">
      <c r="B8" s="55" t="s">
        <v>120</v>
      </c>
      <c r="C8" s="2" t="s">
        <v>206</v>
      </c>
      <c r="D8" s="11" t="s">
        <v>164</v>
      </c>
      <c r="F8" s="15">
        <f>'H2'!F10</f>
        <v>20441.38</v>
      </c>
      <c r="H8" s="47">
        <v>19000</v>
      </c>
      <c r="J8" s="47">
        <v>18000</v>
      </c>
      <c r="L8" s="45">
        <v>54000</v>
      </c>
      <c r="N8" s="56">
        <f>IFERROR(ROUND(INDEX(TB!$G:$G,MATCH('H1'!B8,TB!$B:$B,0))-F8,2),"n/a")</f>
        <v>0</v>
      </c>
    </row>
    <row r="9" spans="2:18" s="26" customFormat="1" ht="16.5" thickTop="1" thickBot="1" x14ac:dyDescent="0.3"/>
    <row r="10" spans="2:18" s="26" customFormat="1" ht="17.25" thickTop="1" thickBot="1" x14ac:dyDescent="0.3">
      <c r="B10" s="55" t="s">
        <v>209</v>
      </c>
      <c r="C10" s="2" t="s">
        <v>207</v>
      </c>
      <c r="D10" s="11" t="s">
        <v>165</v>
      </c>
      <c r="F10" s="15">
        <f>'H3'!S30</f>
        <v>4812.833333333333</v>
      </c>
      <c r="H10" s="47">
        <v>4699.8333333333339</v>
      </c>
      <c r="J10" s="47">
        <v>1943.1666666666665</v>
      </c>
      <c r="L10" s="45">
        <v>1829</v>
      </c>
      <c r="N10" s="56">
        <f>IFERROR(ROUND(INDEX(TB!$G:$G,MATCH('H1'!B10,TB!$B:$B,0))-F10,2),"n/a")</f>
        <v>0</v>
      </c>
    </row>
    <row r="11" spans="2:18" s="26" customFormat="1" ht="16.5" thickTop="1" thickBot="1" x14ac:dyDescent="0.3"/>
    <row r="12" spans="2:18" s="26" customFormat="1" ht="16.5" thickTop="1" thickBot="1" x14ac:dyDescent="0.3">
      <c r="B12" s="47" t="s">
        <v>212</v>
      </c>
      <c r="C12" s="2" t="s">
        <v>208</v>
      </c>
      <c r="D12" s="11" t="s">
        <v>166</v>
      </c>
      <c r="F12" s="15">
        <f>'H4'!F14</f>
        <v>1300</v>
      </c>
      <c r="H12" s="47">
        <v>1100</v>
      </c>
      <c r="J12" s="47">
        <v>1550</v>
      </c>
      <c r="L12" s="45">
        <v>270</v>
      </c>
      <c r="N12" s="56" t="str">
        <f>IFERROR(ROUND(INDEX(TB!$G:$G,MATCH('H1'!B12,TB!$B:$B,0))-F12,2),"n/a")</f>
        <v>n/a</v>
      </c>
    </row>
    <row r="13" spans="2:18" s="26" customFormat="1" ht="15.75" thickTop="1" x14ac:dyDescent="0.25"/>
    <row r="14" spans="2:18" ht="15.75" x14ac:dyDescent="0.25">
      <c r="F14" s="13">
        <f>SUM(F7:F13)</f>
        <v>26554.213333333333</v>
      </c>
      <c r="H14" s="13">
        <f>SUM(H7:H13)</f>
        <v>24799.833333333336</v>
      </c>
      <c r="J14" s="13">
        <f>SUM(J7:J13)</f>
        <v>21493.166666666668</v>
      </c>
      <c r="L14" s="13">
        <f>SUM(L7:L13)</f>
        <v>56099</v>
      </c>
    </row>
  </sheetData>
  <hyperlinks>
    <hyperlink ref="D8" location="Ref_H2_H1" display="H2" xr:uid="{2CCF7FFC-BBE0-4121-8582-FB5BF098E718}"/>
    <hyperlink ref="D10" location="Ref_H3_H1" display="H3" xr:uid="{8A7E0356-3AAE-4E0C-AC22-013AF81F91AD}"/>
    <hyperlink ref="D12" location="Ref_H4_H1" display="H4" xr:uid="{C85DCF48-B8AB-4ED7-8544-D34AD8C1DC4A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96D9-11D9-418A-A4C0-D042AE8473D5}">
  <sheetPr codeName="Sheet14">
    <tabColor theme="8" tint="0.59999389629810485"/>
  </sheetPr>
  <dimension ref="B1:P14"/>
  <sheetViews>
    <sheetView showGridLines="0" workbookViewId="0"/>
  </sheetViews>
  <sheetFormatPr defaultRowHeight="15" x14ac:dyDescent="0.25"/>
  <cols>
    <col min="1" max="1" width="3.7109375" customWidth="1"/>
    <col min="2" max="2" width="7.42578125" style="26" customWidth="1"/>
    <col min="3" max="3" width="24.7109375" style="26" customWidth="1"/>
    <col min="4" max="4" width="5.7109375" style="26" customWidth="1"/>
    <col min="5" max="5" width="3.7109375" customWidth="1"/>
    <col min="6" max="6" width="10.7109375" customWidth="1"/>
    <col min="7" max="7" width="3.7109375" customWidth="1"/>
    <col min="8" max="8" width="10.7109375" customWidth="1"/>
    <col min="9" max="9" width="3.7109375" customWidth="1"/>
    <col min="10" max="10" width="10.7109375" customWidth="1"/>
    <col min="11" max="11" width="3.7109375" customWidth="1"/>
    <col min="12" max="12" width="10.7109375" customWidth="1"/>
    <col min="13" max="13" width="3.7109375" customWidth="1"/>
    <col min="14" max="16" width="15.7109375" customWidth="1"/>
  </cols>
  <sheetData>
    <row r="1" spans="2:16" s="7" customFormat="1" ht="18.75" x14ac:dyDescent="0.3">
      <c r="B1" s="7" t="str">
        <f>Name</f>
        <v>Demo Company</v>
      </c>
      <c r="P1" s="43" t="s">
        <v>164</v>
      </c>
    </row>
    <row r="2" spans="2:16" s="7" customFormat="1" ht="18.75" x14ac:dyDescent="0.3">
      <c r="B2" s="7" t="str">
        <f>ReportName</f>
        <v>Management accounts for the period to 31 August 2021</v>
      </c>
      <c r="N2" s="7" t="str">
        <f>MacroData!$F$7</f>
        <v/>
      </c>
      <c r="O2" s="7" t="str">
        <f>MacroData!$F$8</f>
        <v/>
      </c>
      <c r="P2" s="7" t="str">
        <f>MacroData!$F$9</f>
        <v/>
      </c>
    </row>
    <row r="3" spans="2:16" s="7" customFormat="1" ht="18.75" x14ac:dyDescent="0.3">
      <c r="B3" s="7" t="s">
        <v>223</v>
      </c>
      <c r="N3" s="44" t="str">
        <f>MacroData!$E$7</f>
        <v/>
      </c>
      <c r="O3" s="44" t="str">
        <f>MacroData!$E$8</f>
        <v/>
      </c>
      <c r="P3" s="44" t="str">
        <f>MacroData!$E$9</f>
        <v/>
      </c>
    </row>
    <row r="4" spans="2:16" s="7" customFormat="1" ht="18.75" x14ac:dyDescent="0.3"/>
    <row r="5" spans="2:16" s="26" customFormat="1" x14ac:dyDescent="0.25"/>
    <row r="6" spans="2:16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</row>
    <row r="7" spans="2:16" s="26" customFormat="1" x14ac:dyDescent="0.25"/>
    <row r="8" spans="2:16" s="26" customFormat="1" x14ac:dyDescent="0.25">
      <c r="B8" s="47" t="s">
        <v>212</v>
      </c>
      <c r="C8" s="2" t="s">
        <v>225</v>
      </c>
      <c r="D8" s="11" t="s">
        <v>228</v>
      </c>
      <c r="F8" s="47">
        <v>20441.38</v>
      </c>
      <c r="H8" s="47">
        <v>19000</v>
      </c>
      <c r="J8" s="47">
        <v>18000</v>
      </c>
      <c r="L8" s="45">
        <v>54000</v>
      </c>
    </row>
    <row r="9" spans="2:16" s="26" customFormat="1" x14ac:dyDescent="0.25"/>
    <row r="10" spans="2:16" s="26" customFormat="1" ht="15.75" x14ac:dyDescent="0.25">
      <c r="B10" s="55" t="s">
        <v>120</v>
      </c>
      <c r="C10" s="2" t="s">
        <v>226</v>
      </c>
      <c r="D10" s="11" t="s">
        <v>163</v>
      </c>
      <c r="F10" s="14">
        <f>IFERROR(INDEX(TB!$G:$G,MATCH(B10,TB!$B:$B,0)),"n/a")</f>
        <v>20441.38</v>
      </c>
      <c r="H10" s="47">
        <v>19000</v>
      </c>
      <c r="J10" s="47">
        <v>18000</v>
      </c>
      <c r="L10" s="45">
        <v>54000</v>
      </c>
    </row>
    <row r="11" spans="2:16" s="26" customFormat="1" ht="15.75" thickBot="1" x14ac:dyDescent="0.3"/>
    <row r="12" spans="2:16" s="26" customFormat="1" ht="16.5" thickTop="1" thickBot="1" x14ac:dyDescent="0.3">
      <c r="C12" s="2" t="s">
        <v>227</v>
      </c>
      <c r="F12" s="57">
        <f>F8-F10</f>
        <v>0</v>
      </c>
      <c r="H12" s="57">
        <f>H8-H10</f>
        <v>0</v>
      </c>
      <c r="J12" s="57">
        <f>J8-J10</f>
        <v>0</v>
      </c>
      <c r="L12" s="57">
        <f>L8-L10</f>
        <v>0</v>
      </c>
    </row>
    <row r="13" spans="2:16" s="26" customFormat="1" ht="15.75" thickTop="1" x14ac:dyDescent="0.25"/>
    <row r="14" spans="2:16" s="26" customFormat="1" x14ac:dyDescent="0.25"/>
  </sheetData>
  <hyperlinks>
    <hyperlink ref="D10" location="Ref_H1_H2" display="H1" xr:uid="{A47B117E-7AE9-4507-9E82-A567229B230B}"/>
    <hyperlink ref="D8" r:id="rId1" xr:uid="{665A392E-CD86-49A3-A8FB-755EEBAE85F4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5CC7E-B060-49A7-97A6-ECA552B18EE6}">
  <sheetPr codeName="Sheet15">
    <tabColor theme="8" tint="0.59999389629810485"/>
  </sheetPr>
  <dimension ref="B1:AB32"/>
  <sheetViews>
    <sheetView showGridLines="0" workbookViewId="0"/>
  </sheetViews>
  <sheetFormatPr defaultRowHeight="15" x14ac:dyDescent="0.25"/>
  <cols>
    <col min="1" max="1" width="3.7109375" customWidth="1"/>
    <col min="2" max="2" width="7.42578125" style="26" customWidth="1"/>
    <col min="3" max="3" width="24.7109375" style="26" customWidth="1"/>
    <col min="4" max="4" width="5.7109375" style="26" customWidth="1"/>
    <col min="5" max="5" width="11.140625" style="26" bestFit="1" customWidth="1"/>
    <col min="6" max="6" width="3.7109375" style="26" customWidth="1"/>
    <col min="7" max="10" width="10.7109375" style="26" customWidth="1"/>
    <col min="11" max="11" width="3.7109375" customWidth="1"/>
    <col min="12" max="13" width="10.7109375" customWidth="1"/>
    <col min="14" max="14" width="3.7109375" customWidth="1"/>
    <col min="15" max="15" width="3.7109375" style="26" customWidth="1"/>
    <col min="16" max="16" width="10.7109375" customWidth="1"/>
    <col min="17" max="17" width="3.7109375" customWidth="1"/>
    <col min="18" max="18" width="3.7109375" style="26" customWidth="1"/>
    <col min="19" max="19" width="10.7109375" customWidth="1"/>
    <col min="20" max="20" width="3.7109375" customWidth="1"/>
    <col min="21" max="21" width="10.7109375" style="26" customWidth="1"/>
    <col min="22" max="22" width="3.7109375" customWidth="1"/>
    <col min="23" max="23" width="10.7109375" style="26" customWidth="1"/>
    <col min="24" max="24" width="3.7109375" customWidth="1"/>
    <col min="25" max="25" width="10.7109375" customWidth="1"/>
    <col min="26" max="28" width="14.85546875" bestFit="1" customWidth="1"/>
  </cols>
  <sheetData>
    <row r="1" spans="2:28" s="7" customFormat="1" ht="18.75" x14ac:dyDescent="0.3">
      <c r="B1" s="7" t="str">
        <f>Name</f>
        <v>Demo Company</v>
      </c>
      <c r="AB1" s="43" t="s">
        <v>165</v>
      </c>
    </row>
    <row r="2" spans="2:28" s="7" customFormat="1" ht="18.75" x14ac:dyDescent="0.3">
      <c r="B2" s="7" t="str">
        <f>ReportName</f>
        <v>Management accounts for the period to 31 August 2021</v>
      </c>
      <c r="Z2" s="7" t="str">
        <f>MacroData!$F$7</f>
        <v/>
      </c>
      <c r="AA2" s="7" t="str">
        <f>MacroData!$F$8</f>
        <v/>
      </c>
      <c r="AB2" s="7" t="str">
        <f>MacroData!$F$9</f>
        <v/>
      </c>
    </row>
    <row r="3" spans="2:28" s="7" customFormat="1" ht="18.75" x14ac:dyDescent="0.3">
      <c r="B3" s="7" t="s">
        <v>229</v>
      </c>
      <c r="Z3" s="44" t="str">
        <f>MacroData!$E$7</f>
        <v/>
      </c>
      <c r="AA3" s="44" t="str">
        <f>MacroData!$E$8</f>
        <v/>
      </c>
      <c r="AB3" s="44" t="str">
        <f>MacroData!$E$9</f>
        <v/>
      </c>
    </row>
    <row r="4" spans="2:28" s="7" customFormat="1" ht="18.75" x14ac:dyDescent="0.3"/>
    <row r="5" spans="2:28" s="26" customFormat="1" x14ac:dyDescent="0.25"/>
    <row r="6" spans="2:28" s="26" customFormat="1" x14ac:dyDescent="0.25">
      <c r="C6" s="42">
        <f>H3PasteExtra</f>
        <v>44439</v>
      </c>
      <c r="L6" s="72" t="s">
        <v>221</v>
      </c>
      <c r="M6" s="72"/>
    </row>
    <row r="7" spans="2:28" s="26" customFormat="1" x14ac:dyDescent="0.25"/>
    <row r="8" spans="2:28" s="26" customFormat="1" x14ac:dyDescent="0.25">
      <c r="C8" s="10" t="s">
        <v>230</v>
      </c>
      <c r="E8" s="10" t="s">
        <v>231</v>
      </c>
      <c r="G8" s="10" t="s">
        <v>232</v>
      </c>
      <c r="H8" s="10" t="s">
        <v>233</v>
      </c>
      <c r="I8" s="10" t="s">
        <v>234</v>
      </c>
      <c r="J8" s="10" t="s">
        <v>235</v>
      </c>
      <c r="L8" s="10" t="s">
        <v>245</v>
      </c>
      <c r="M8" s="10" t="s">
        <v>141</v>
      </c>
      <c r="P8" s="10" t="s">
        <v>236</v>
      </c>
      <c r="S8" s="10">
        <f>ReportingMonth</f>
        <v>44439</v>
      </c>
      <c r="U8" s="10">
        <f>EOMONTH(S8,-1)</f>
        <v>44408</v>
      </c>
      <c r="W8" s="10">
        <f>EOMONTH(U8,-1)</f>
        <v>44377</v>
      </c>
      <c r="Y8" s="10">
        <f>YE0</f>
        <v>44196</v>
      </c>
    </row>
    <row r="9" spans="2:28" s="26" customFormat="1" x14ac:dyDescent="0.25"/>
    <row r="10" spans="2:28" s="26" customFormat="1" x14ac:dyDescent="0.25">
      <c r="B10" s="11"/>
      <c r="C10" s="2" t="s">
        <v>200</v>
      </c>
      <c r="E10" s="47">
        <v>100</v>
      </c>
      <c r="G10" s="40">
        <v>44317</v>
      </c>
      <c r="H10" s="40">
        <v>44408</v>
      </c>
      <c r="I10" s="15">
        <f>ROUND((H10-G10)/30.5,0)</f>
        <v>3</v>
      </c>
      <c r="J10" s="15">
        <f>MAX(ROUND((H10-$C$6)/30.5,0),0)</f>
        <v>0</v>
      </c>
      <c r="L10" s="62" t="str">
        <f>IF(ISNUMBER((MATCH(M10,Journals!$F$18:$F$26,0))),"ü","û")</f>
        <v>ü</v>
      </c>
      <c r="M10" s="47" t="s">
        <v>100</v>
      </c>
      <c r="P10" s="15">
        <f>U10-S10</f>
        <v>0</v>
      </c>
      <c r="S10" s="15">
        <f>MIN(E10/I10*J10,E10)</f>
        <v>0</v>
      </c>
      <c r="U10" s="47">
        <v>0</v>
      </c>
      <c r="W10" s="47">
        <v>33.333333333333336</v>
      </c>
      <c r="Y10" s="45">
        <v>24</v>
      </c>
    </row>
    <row r="11" spans="2:28" s="26" customFormat="1" x14ac:dyDescent="0.25">
      <c r="L11" s="62"/>
    </row>
    <row r="12" spans="2:28" s="26" customFormat="1" x14ac:dyDescent="0.25">
      <c r="B12" s="11" t="s">
        <v>246</v>
      </c>
      <c r="C12" s="2" t="s">
        <v>201</v>
      </c>
      <c r="E12" s="47">
        <v>500</v>
      </c>
      <c r="G12" s="40">
        <v>44317</v>
      </c>
      <c r="H12" s="40">
        <v>44561</v>
      </c>
      <c r="I12" s="15">
        <f>ROUND((H12-G12)/30.5,0)</f>
        <v>8</v>
      </c>
      <c r="J12" s="15">
        <f>MAX(ROUND((H12-$C$6)/30.5,0),0)</f>
        <v>4</v>
      </c>
      <c r="L12" s="62" t="str">
        <f>IF(ISNUMBER((MATCH(M12,Journals!$F$18:$F$26,0))),"ü","û")</f>
        <v>ü</v>
      </c>
      <c r="M12" s="47" t="s">
        <v>102</v>
      </c>
      <c r="P12" s="15">
        <f>U12-S12</f>
        <v>62.5</v>
      </c>
      <c r="S12" s="15">
        <f>MIN(E12/I12*J12,E12)</f>
        <v>250</v>
      </c>
      <c r="U12" s="47">
        <v>312.5</v>
      </c>
      <c r="W12" s="47">
        <v>375</v>
      </c>
      <c r="Y12" s="45">
        <v>0</v>
      </c>
    </row>
    <row r="13" spans="2:28" s="26" customFormat="1" x14ac:dyDescent="0.25">
      <c r="L13" s="62"/>
    </row>
    <row r="14" spans="2:28" s="26" customFormat="1" x14ac:dyDescent="0.25">
      <c r="B14" s="11"/>
      <c r="C14" s="2" t="s">
        <v>202</v>
      </c>
      <c r="E14" s="47">
        <v>250</v>
      </c>
      <c r="G14" s="40">
        <v>44234</v>
      </c>
      <c r="H14" s="40">
        <v>44598</v>
      </c>
      <c r="I14" s="15">
        <f>ROUND((H14-G14)/30.5,0)</f>
        <v>12</v>
      </c>
      <c r="J14" s="15">
        <f>MAX(ROUND((H14-$C$6)/30.5,0),0)</f>
        <v>5</v>
      </c>
      <c r="L14" s="62" t="str">
        <f>IF(ISNUMBER((MATCH(M14,Journals!$F$18:$F$26,0))),"ü","û")</f>
        <v>ü</v>
      </c>
      <c r="M14" s="47" t="s">
        <v>100</v>
      </c>
      <c r="P14" s="15">
        <f>U14-S14</f>
        <v>20.833333333333343</v>
      </c>
      <c r="S14" s="15">
        <f>MIN(E14/I14*J14,E14)</f>
        <v>104.16666666666666</v>
      </c>
      <c r="U14" s="47">
        <v>125</v>
      </c>
      <c r="W14" s="47">
        <v>145.83333333333331</v>
      </c>
      <c r="Y14" s="45"/>
    </row>
    <row r="15" spans="2:28" x14ac:dyDescent="0.25">
      <c r="K15" s="26"/>
      <c r="L15" s="62"/>
      <c r="M15" s="26"/>
      <c r="N15" s="26"/>
      <c r="P15" s="26"/>
      <c r="Q15" s="26"/>
      <c r="S15" s="26"/>
      <c r="T15" s="26"/>
      <c r="V15" s="26"/>
      <c r="X15" s="26"/>
      <c r="Y15" s="26"/>
      <c r="AA15" s="26"/>
    </row>
    <row r="16" spans="2:28" x14ac:dyDescent="0.25">
      <c r="B16" s="11"/>
      <c r="C16" s="2" t="s">
        <v>203</v>
      </c>
      <c r="E16" s="47">
        <v>700</v>
      </c>
      <c r="G16" s="40">
        <v>44275</v>
      </c>
      <c r="H16" s="40">
        <v>44469</v>
      </c>
      <c r="I16" s="15">
        <f>ROUND((H16-G16)/30.5,0)</f>
        <v>6</v>
      </c>
      <c r="J16" s="15">
        <f>MAX(ROUND((H16-$C$6)/30.5,0),0)</f>
        <v>1</v>
      </c>
      <c r="K16" s="26"/>
      <c r="L16" s="62" t="str">
        <f>IF(ISNUMBER((MATCH(M16,Journals!$F$18:$F$26,0))),"ü","û")</f>
        <v>ü</v>
      </c>
      <c r="M16" s="47" t="s">
        <v>104</v>
      </c>
      <c r="N16" s="26"/>
      <c r="P16" s="15">
        <f>U16-S16</f>
        <v>116.66666666666667</v>
      </c>
      <c r="Q16" s="26"/>
      <c r="S16" s="15">
        <f>MIN(E16/I16*J16,E16)</f>
        <v>116.66666666666667</v>
      </c>
      <c r="T16" s="26"/>
      <c r="U16" s="47">
        <v>233.33333333333334</v>
      </c>
      <c r="V16" s="26"/>
      <c r="W16" s="47">
        <v>350</v>
      </c>
      <c r="X16" s="26"/>
      <c r="Y16" s="45">
        <v>256</v>
      </c>
      <c r="AA16" s="26"/>
    </row>
    <row r="17" spans="2:27" x14ac:dyDescent="0.25">
      <c r="K17" s="26"/>
      <c r="L17" s="62"/>
      <c r="M17" s="26"/>
      <c r="N17" s="26"/>
      <c r="P17" s="26"/>
      <c r="Q17" s="26"/>
      <c r="S17" s="26"/>
      <c r="T17" s="26"/>
      <c r="V17" s="26"/>
      <c r="X17" s="26"/>
      <c r="Y17" s="26"/>
      <c r="AA17" s="26"/>
    </row>
    <row r="18" spans="2:27" x14ac:dyDescent="0.25">
      <c r="B18" s="11"/>
      <c r="C18" s="2" t="s">
        <v>237</v>
      </c>
      <c r="E18" s="47">
        <v>120</v>
      </c>
      <c r="G18" s="40">
        <v>44197</v>
      </c>
      <c r="H18" s="40">
        <v>44561</v>
      </c>
      <c r="I18" s="15">
        <f>ROUND((H18-G18)/30.5,0)</f>
        <v>12</v>
      </c>
      <c r="J18" s="15">
        <f>MAX(ROUND((H18-$C$6)/30.5,0),0)</f>
        <v>4</v>
      </c>
      <c r="K18" s="26"/>
      <c r="L18" s="62" t="str">
        <f>IF(ISNUMBER((MATCH(M18,Journals!$F$18:$F$26,0))),"ü","û")</f>
        <v>ü</v>
      </c>
      <c r="M18" s="47" t="s">
        <v>108</v>
      </c>
      <c r="N18" s="26"/>
      <c r="P18" s="15">
        <f>U18-S18</f>
        <v>10</v>
      </c>
      <c r="Q18" s="26"/>
      <c r="S18" s="15">
        <f>MIN(E18/I18*J18,E18)</f>
        <v>40</v>
      </c>
      <c r="T18" s="26"/>
      <c r="U18" s="47">
        <v>50</v>
      </c>
      <c r="V18" s="26"/>
      <c r="W18" s="47">
        <v>60</v>
      </c>
      <c r="X18" s="26"/>
      <c r="Y18" s="45">
        <v>40</v>
      </c>
      <c r="AA18" s="26"/>
    </row>
    <row r="19" spans="2:27" x14ac:dyDescent="0.25">
      <c r="K19" s="26"/>
      <c r="L19" s="62"/>
      <c r="M19" s="26"/>
      <c r="N19" s="26"/>
      <c r="P19" s="26"/>
      <c r="Q19" s="26"/>
      <c r="S19" s="26"/>
      <c r="T19" s="26"/>
      <c r="V19" s="26"/>
      <c r="X19" s="26"/>
      <c r="Y19" s="26"/>
      <c r="AA19" s="26"/>
    </row>
    <row r="20" spans="2:27" x14ac:dyDescent="0.25">
      <c r="B20" s="11"/>
      <c r="C20" s="2" t="s">
        <v>238</v>
      </c>
      <c r="E20" s="47">
        <v>400</v>
      </c>
      <c r="G20" s="40">
        <v>44166</v>
      </c>
      <c r="H20" s="40">
        <v>44227</v>
      </c>
      <c r="I20" s="15">
        <f>ROUND((H20-G20)/30.5,0)</f>
        <v>2</v>
      </c>
      <c r="J20" s="15">
        <f>MAX(ROUND((H20-$C$6)/30.5,0),0)</f>
        <v>0</v>
      </c>
      <c r="K20" s="26"/>
      <c r="L20" s="62" t="str">
        <f>IF(ISNUMBER((MATCH(M20,Journals!$F$18:$F$26,0))),"ü","û")</f>
        <v>ü</v>
      </c>
      <c r="M20" s="47" t="s">
        <v>110</v>
      </c>
      <c r="N20" s="26"/>
      <c r="P20" s="15">
        <f>U20-S20</f>
        <v>0</v>
      </c>
      <c r="Q20" s="26"/>
      <c r="S20" s="15">
        <f>MIN(E20/I20*J20,E20)</f>
        <v>0</v>
      </c>
      <c r="T20" s="26"/>
      <c r="U20" s="47">
        <v>0</v>
      </c>
      <c r="V20" s="26"/>
      <c r="W20" s="47">
        <v>0</v>
      </c>
      <c r="X20" s="26"/>
      <c r="Y20" s="45">
        <v>351</v>
      </c>
    </row>
    <row r="21" spans="2:27" x14ac:dyDescent="0.25">
      <c r="K21" s="26"/>
      <c r="L21" s="62"/>
      <c r="M21" s="26"/>
      <c r="N21" s="26"/>
      <c r="P21" s="26"/>
      <c r="Q21" s="26"/>
      <c r="S21" s="26"/>
      <c r="T21" s="26"/>
      <c r="V21" s="26"/>
      <c r="X21" s="26"/>
      <c r="Y21" s="26"/>
    </row>
    <row r="22" spans="2:27" x14ac:dyDescent="0.25">
      <c r="B22" s="11"/>
      <c r="C22" s="2" t="s">
        <v>239</v>
      </c>
      <c r="E22" s="47">
        <v>458</v>
      </c>
      <c r="G22" s="40">
        <v>44409</v>
      </c>
      <c r="H22" s="40">
        <v>44439</v>
      </c>
      <c r="I22" s="15">
        <f>ROUND((H22-G22)/30.5,0)</f>
        <v>1</v>
      </c>
      <c r="J22" s="15">
        <f>MAX(ROUND((H22-$C$6)/30.5,0),0)</f>
        <v>0</v>
      </c>
      <c r="K22" s="26"/>
      <c r="L22" s="62" t="str">
        <f>IF(ISNUMBER((MATCH(M22,Journals!$F$18:$F$26,0))),"ü","û")</f>
        <v>ü</v>
      </c>
      <c r="M22" s="47" t="s">
        <v>110</v>
      </c>
      <c r="N22" s="26"/>
      <c r="P22" s="15">
        <f>U22-S22</f>
        <v>458</v>
      </c>
      <c r="Q22" s="26"/>
      <c r="S22" s="15">
        <f>MIN(E22/I22*J22,E22)</f>
        <v>0</v>
      </c>
      <c r="T22" s="26"/>
      <c r="U22" s="47">
        <v>458</v>
      </c>
      <c r="V22" s="26"/>
      <c r="W22" s="47">
        <v>458</v>
      </c>
      <c r="X22" s="26"/>
      <c r="Y22" s="45">
        <v>458</v>
      </c>
    </row>
    <row r="23" spans="2:27" x14ac:dyDescent="0.25">
      <c r="K23" s="26"/>
      <c r="L23" s="62"/>
      <c r="M23" s="26"/>
      <c r="N23" s="26"/>
      <c r="P23" s="26"/>
      <c r="Q23" s="26"/>
      <c r="S23" s="26"/>
      <c r="T23" s="26"/>
      <c r="V23" s="26"/>
      <c r="X23" s="26"/>
      <c r="Y23" s="26"/>
    </row>
    <row r="24" spans="2:27" x14ac:dyDescent="0.25">
      <c r="B24" s="11"/>
      <c r="C24" s="2" t="s">
        <v>240</v>
      </c>
      <c r="E24" s="47">
        <v>521</v>
      </c>
      <c r="G24" s="40">
        <v>44440</v>
      </c>
      <c r="H24" s="40">
        <v>44469</v>
      </c>
      <c r="I24" s="15">
        <f>ROUND((H24-G24)/30.5,0)</f>
        <v>1</v>
      </c>
      <c r="J24" s="15">
        <f>MAX(ROUND((H24-$C$6)/30.5,0),0)</f>
        <v>1</v>
      </c>
      <c r="K24" s="26"/>
      <c r="L24" s="62" t="str">
        <f>IF(ISNUMBER((MATCH(M24,Journals!$F$18:$F$26,0))),"ü","û")</f>
        <v>ü</v>
      </c>
      <c r="M24" s="47" t="s">
        <v>112</v>
      </c>
      <c r="N24" s="26"/>
      <c r="P24" s="15">
        <f>U24-S24</f>
        <v>0</v>
      </c>
      <c r="Q24" s="26"/>
      <c r="S24" s="15">
        <f>MIN(E24/I24*J24,E24)</f>
        <v>521</v>
      </c>
      <c r="T24" s="26"/>
      <c r="U24" s="47">
        <v>521</v>
      </c>
      <c r="V24" s="26"/>
      <c r="W24" s="47">
        <v>521</v>
      </c>
      <c r="X24" s="26"/>
      <c r="Y24" s="45">
        <v>0</v>
      </c>
    </row>
    <row r="25" spans="2:27" x14ac:dyDescent="0.25">
      <c r="K25" s="26"/>
      <c r="L25" s="62"/>
      <c r="M25" s="26"/>
      <c r="N25" s="26"/>
      <c r="P25" s="26"/>
      <c r="Q25" s="26"/>
      <c r="S25" s="26"/>
      <c r="T25" s="26"/>
      <c r="V25" s="26"/>
      <c r="X25" s="26"/>
      <c r="Y25" s="26"/>
    </row>
    <row r="26" spans="2:27" x14ac:dyDescent="0.25">
      <c r="B26" s="11" t="s">
        <v>247</v>
      </c>
      <c r="C26" s="2" t="s">
        <v>241</v>
      </c>
      <c r="E26" s="47">
        <v>3000</v>
      </c>
      <c r="G26" s="40">
        <v>44492</v>
      </c>
      <c r="H26" s="40">
        <v>44522</v>
      </c>
      <c r="I26" s="15">
        <f>ROUND((H26-G26)/30.5,0)</f>
        <v>1</v>
      </c>
      <c r="J26" s="15">
        <f>MAX(ROUND((H26-$C$6)/30.5,0),0)</f>
        <v>3</v>
      </c>
      <c r="K26" s="26"/>
      <c r="L26" s="62" t="str">
        <f>IF(ISNUMBER((MATCH(M26,Journals!$F$18:$F$26,0))),"ü","û")</f>
        <v>ü</v>
      </c>
      <c r="M26" s="47" t="s">
        <v>100</v>
      </c>
      <c r="N26" s="26"/>
      <c r="P26" s="15">
        <f>U26-S26</f>
        <v>0</v>
      </c>
      <c r="Q26" s="26"/>
      <c r="S26" s="15">
        <f>MIN(E26/I26*J26,E26)</f>
        <v>3000</v>
      </c>
      <c r="T26" s="26"/>
      <c r="U26" s="47">
        <v>3000</v>
      </c>
      <c r="V26" s="26"/>
      <c r="W26" s="47">
        <v>0</v>
      </c>
      <c r="X26" s="26"/>
      <c r="Y26" s="45">
        <v>0</v>
      </c>
    </row>
    <row r="27" spans="2:27" x14ac:dyDescent="0.25">
      <c r="K27" s="26"/>
      <c r="L27" s="62"/>
      <c r="M27" s="26"/>
      <c r="N27" s="26"/>
      <c r="P27" s="26"/>
      <c r="Q27" s="26"/>
      <c r="S27" s="26"/>
      <c r="T27" s="26"/>
      <c r="V27" s="26"/>
      <c r="X27" s="26"/>
      <c r="Y27" s="26"/>
    </row>
    <row r="28" spans="2:27" x14ac:dyDescent="0.25">
      <c r="B28" s="11" t="s">
        <v>248</v>
      </c>
      <c r="C28" s="2" t="s">
        <v>242</v>
      </c>
      <c r="E28" s="47">
        <v>781</v>
      </c>
      <c r="G28" s="40">
        <v>44531</v>
      </c>
      <c r="H28" s="40">
        <v>44561</v>
      </c>
      <c r="I28" s="15">
        <f>ROUND((H28-G28)/30.5,0)</f>
        <v>1</v>
      </c>
      <c r="J28" s="15">
        <f>MAX(ROUND((H28-$C$6)/30.5,0),0)</f>
        <v>4</v>
      </c>
      <c r="K28" s="26"/>
      <c r="L28" s="62" t="str">
        <f>IF(ISNUMBER((MATCH(M28,Journals!$F$18:$F$26,0))),"ü","û")</f>
        <v>ü</v>
      </c>
      <c r="M28" s="47" t="s">
        <v>102</v>
      </c>
      <c r="N28" s="26"/>
      <c r="P28" s="15">
        <f>U28-S28</f>
        <v>-781</v>
      </c>
      <c r="Q28" s="26"/>
      <c r="S28" s="15">
        <f>MIN(E28/I28*J28,E28)</f>
        <v>781</v>
      </c>
      <c r="T28" s="26"/>
      <c r="U28" s="47"/>
      <c r="V28" s="26"/>
      <c r="W28" s="47">
        <v>0</v>
      </c>
      <c r="X28" s="26"/>
      <c r="Y28" s="45">
        <v>700</v>
      </c>
    </row>
    <row r="29" spans="2:27" x14ac:dyDescent="0.25">
      <c r="L29" s="62"/>
    </row>
    <row r="30" spans="2:27" ht="15.75" x14ac:dyDescent="0.25">
      <c r="L30" s="62" t="str">
        <f>IF(ISNUMBER((MATCH(M30,Journals!$F$18:$F$26,0))),"ü","û")</f>
        <v>ü</v>
      </c>
      <c r="M30" s="54" t="s">
        <v>209</v>
      </c>
      <c r="P30" s="13">
        <f>SUM(P9:P29)</f>
        <v>-113</v>
      </c>
      <c r="S30" s="13">
        <f>SUM(S9:S29)</f>
        <v>4812.833333333333</v>
      </c>
      <c r="U30" s="13">
        <f>SUM(U9:U29)</f>
        <v>4699.8333333333339</v>
      </c>
      <c r="W30" s="13">
        <f>SUM(W9:W29)</f>
        <v>1943.1666666666665</v>
      </c>
      <c r="Y30" s="13">
        <f>SUM(Y9:Y29)</f>
        <v>1829</v>
      </c>
    </row>
    <row r="31" spans="2:27" x14ac:dyDescent="0.25">
      <c r="S31" s="11" t="s">
        <v>163</v>
      </c>
    </row>
    <row r="32" spans="2:27" x14ac:dyDescent="0.25">
      <c r="U32" s="46"/>
    </row>
  </sheetData>
  <sheetProtection algorithmName="SHA-512" hashValue="cr5JcxE2mvpCpHtI6bLnkWg93MXybgn65Yk4gw+Oqf8Fer/FVEyqJOge8XOcqFHs5U+oFQvb3E+XMU69Hu0BWQ==" saltValue="D5ovqOtt5Qk7x8q2hwN9zQ==" spinCount="100000" sheet="1" objects="1" scenarios="1"/>
  <mergeCells count="1">
    <mergeCell ref="L6:M6"/>
  </mergeCells>
  <phoneticPr fontId="20" type="noConversion"/>
  <conditionalFormatting sqref="L9:L30">
    <cfRule type="cellIs" dxfId="3" priority="1" stopIfTrue="1" operator="equal">
      <formula>"û"</formula>
    </cfRule>
    <cfRule type="cellIs" dxfId="2" priority="2" stopIfTrue="1" operator="equal">
      <formula>"ü"</formula>
    </cfRule>
  </conditionalFormatting>
  <hyperlinks>
    <hyperlink ref="S31" location="Ref_H1_H3" display="H1" xr:uid="{4E510236-30A8-42C9-918A-C597339329D3}"/>
    <hyperlink ref="L6:M6" location="Ref_JNL_H3" display="JNL" xr:uid="{14919A95-0AD4-4FBF-84C4-7667954504DA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E10AC-4A4E-4D23-B34E-CAF89EED3452}">
  <sheetPr codeName="Sheet16">
    <tabColor theme="8" tint="0.59999389629810485"/>
  </sheetPr>
  <dimension ref="A1:R15"/>
  <sheetViews>
    <sheetView showGridLines="0" workbookViewId="0"/>
  </sheetViews>
  <sheetFormatPr defaultRowHeight="15" x14ac:dyDescent="0.25"/>
  <cols>
    <col min="1" max="1" width="3.7109375" style="26" customWidth="1"/>
    <col min="2" max="2" width="7.42578125" style="26" customWidth="1"/>
    <col min="3" max="3" width="24.7109375" style="26" customWidth="1"/>
    <col min="4" max="4" width="5.7109375" style="26" customWidth="1"/>
    <col min="5" max="5" width="3.7109375" style="26" customWidth="1"/>
    <col min="6" max="6" width="10.7109375" style="26" customWidth="1"/>
    <col min="7" max="7" width="3.7109375" style="26" customWidth="1"/>
    <col min="8" max="8" width="10.7109375" style="26" customWidth="1"/>
    <col min="9" max="9" width="3.7109375" style="26" customWidth="1"/>
    <col min="10" max="10" width="10.7109375" style="26" customWidth="1"/>
    <col min="11" max="11" width="3.7109375" style="26" customWidth="1"/>
    <col min="12" max="12" width="10.7109375" style="26" customWidth="1"/>
    <col min="13" max="13" width="3.7109375" style="26" customWidth="1"/>
    <col min="14" max="14" width="10.7109375" style="26" customWidth="1"/>
    <col min="15" max="15" width="10.7109375" customWidth="1"/>
    <col min="16" max="18" width="15.7109375" customWidth="1"/>
  </cols>
  <sheetData>
    <row r="1" spans="2:18" s="7" customFormat="1" ht="18.75" x14ac:dyDescent="0.3">
      <c r="B1" s="7" t="str">
        <f>Name</f>
        <v>Demo Company</v>
      </c>
      <c r="R1" s="43" t="s">
        <v>166</v>
      </c>
    </row>
    <row r="2" spans="2:18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8" s="7" customFormat="1" ht="18.75" x14ac:dyDescent="0.3">
      <c r="B3" s="7" t="s">
        <v>224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8" s="7" customFormat="1" ht="18.75" x14ac:dyDescent="0.3"/>
    <row r="5" spans="2:18" s="26" customFormat="1" x14ac:dyDescent="0.25"/>
    <row r="6" spans="2:18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  <c r="N6" s="10" t="s">
        <v>213</v>
      </c>
    </row>
    <row r="7" spans="2:18" s="26" customFormat="1" ht="15.75" thickBot="1" x14ac:dyDescent="0.3"/>
    <row r="8" spans="2:18" s="26" customFormat="1" ht="17.25" thickTop="1" thickBot="1" x14ac:dyDescent="0.3">
      <c r="B8" s="60" t="s">
        <v>338</v>
      </c>
      <c r="C8" s="2" t="s">
        <v>249</v>
      </c>
      <c r="D8" s="11"/>
      <c r="F8" s="14">
        <f>IFERROR(INDEX(TB!$G:$G,MATCH(B8,TB!$B:$B,0)),"n/a")</f>
        <v>300</v>
      </c>
      <c r="H8" s="47">
        <v>800</v>
      </c>
      <c r="J8" s="47">
        <v>1000</v>
      </c>
      <c r="L8" s="45">
        <v>0</v>
      </c>
      <c r="N8" s="56">
        <f>IFERROR(ROUND(MAX(INDEX(TB!$G:$G,MATCH(B8,TB!$B:$B,0)),0)-F8,2),"n/a")</f>
        <v>0</v>
      </c>
    </row>
    <row r="9" spans="2:18" s="26" customFormat="1" ht="16.5" thickTop="1" thickBot="1" x14ac:dyDescent="0.3"/>
    <row r="10" spans="2:18" s="26" customFormat="1" ht="17.25" thickTop="1" thickBot="1" x14ac:dyDescent="0.3">
      <c r="B10" s="60" t="s">
        <v>339</v>
      </c>
      <c r="C10" s="2" t="s">
        <v>250</v>
      </c>
      <c r="D10" s="11"/>
      <c r="F10" s="14">
        <f>IFERROR(INDEX(TB!$G:$G,MATCH(B10,TB!$B:$B,0)),"n/a")</f>
        <v>1000</v>
      </c>
      <c r="H10" s="47">
        <v>300</v>
      </c>
      <c r="J10" s="47">
        <v>100</v>
      </c>
      <c r="L10" s="45">
        <v>270</v>
      </c>
      <c r="N10" s="56">
        <f>IFERROR(ROUND(MAX(INDEX(TB!$G:$G,MATCH(B10,TB!$B:$B,0)),0)-F10,2),"n/a")</f>
        <v>0</v>
      </c>
    </row>
    <row r="11" spans="2:18" s="26" customFormat="1" ht="16.5" thickTop="1" thickBot="1" x14ac:dyDescent="0.3"/>
    <row r="12" spans="2:18" s="26" customFormat="1" ht="16.5" thickTop="1" thickBot="1" x14ac:dyDescent="0.3">
      <c r="B12" s="54" t="s">
        <v>133</v>
      </c>
      <c r="C12" s="2" t="s">
        <v>134</v>
      </c>
      <c r="D12" s="11"/>
      <c r="F12" s="14">
        <f>MAX(INDEX(TB!$G:$G,MATCH(B12,TB!$B:$B,0)),0)</f>
        <v>0</v>
      </c>
      <c r="H12" s="47">
        <v>0</v>
      </c>
      <c r="J12" s="47">
        <v>450</v>
      </c>
      <c r="L12" s="45">
        <v>0</v>
      </c>
      <c r="N12" s="56">
        <f>IFERROR(ROUND(MAX(INDEX(TB!$G:$G,MATCH(B12,TB!$B:$B,0)),0)-F12,2),"n/a")</f>
        <v>0</v>
      </c>
    </row>
    <row r="13" spans="2:18" ht="15.75" thickTop="1" x14ac:dyDescent="0.25"/>
    <row r="14" spans="2:18" ht="15.75" x14ac:dyDescent="0.25">
      <c r="F14" s="13">
        <f>SUM(F7:F13)</f>
        <v>1300</v>
      </c>
      <c r="H14" s="13">
        <f>SUM(H7:H13)</f>
        <v>1100</v>
      </c>
      <c r="J14" s="13">
        <f>SUM(J7:J13)</f>
        <v>1550</v>
      </c>
      <c r="L14" s="13">
        <f>SUM(L7:L13)</f>
        <v>270</v>
      </c>
    </row>
    <row r="15" spans="2:18" x14ac:dyDescent="0.25">
      <c r="F15" s="11" t="s">
        <v>163</v>
      </c>
    </row>
  </sheetData>
  <hyperlinks>
    <hyperlink ref="F15" location="Ref_H1_H4" display="H1" xr:uid="{81AA2FA6-EABC-4765-B13A-7E85D5EC631C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0699C-1A6A-4C46-AC06-8A99D9FF6F5A}">
  <sheetPr codeName="Sheet18">
    <tabColor theme="8" tint="-0.249977111117893"/>
  </sheetPr>
  <dimension ref="A1:R22"/>
  <sheetViews>
    <sheetView showGridLines="0" workbookViewId="0"/>
  </sheetViews>
  <sheetFormatPr defaultRowHeight="15" x14ac:dyDescent="0.25"/>
  <cols>
    <col min="1" max="1" width="3.7109375" style="26" customWidth="1"/>
    <col min="2" max="2" width="7.42578125" style="26" customWidth="1"/>
    <col min="3" max="3" width="24.7109375" style="26" customWidth="1"/>
    <col min="4" max="4" width="5.7109375" style="26" customWidth="1"/>
    <col min="5" max="5" width="3.7109375" style="26" customWidth="1"/>
    <col min="6" max="6" width="10.7109375" style="26" customWidth="1"/>
    <col min="7" max="7" width="3.7109375" style="26" customWidth="1"/>
    <col min="8" max="8" width="10.7109375" style="26" customWidth="1"/>
    <col min="9" max="9" width="3.7109375" style="26" customWidth="1"/>
    <col min="10" max="10" width="10.7109375" style="26" customWidth="1"/>
    <col min="11" max="11" width="3.7109375" style="26" customWidth="1"/>
    <col min="12" max="12" width="10.7109375" style="26" customWidth="1"/>
    <col min="13" max="13" width="3.7109375" style="26" customWidth="1"/>
    <col min="14" max="14" width="10.7109375" style="26" customWidth="1"/>
    <col min="15" max="15" width="10.7109375" customWidth="1"/>
    <col min="16" max="18" width="15.7109375" customWidth="1"/>
  </cols>
  <sheetData>
    <row r="1" spans="2:18" s="7" customFormat="1" ht="18.75" x14ac:dyDescent="0.3">
      <c r="B1" s="7" t="str">
        <f>Name</f>
        <v>Demo Company</v>
      </c>
      <c r="R1" s="43" t="s">
        <v>167</v>
      </c>
    </row>
    <row r="2" spans="2:18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8" s="7" customFormat="1" ht="18.75" x14ac:dyDescent="0.3">
      <c r="B3" s="7" t="s">
        <v>251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8" s="7" customFormat="1" ht="18.75" x14ac:dyDescent="0.3"/>
    <row r="5" spans="2:18" s="26" customFormat="1" x14ac:dyDescent="0.25"/>
    <row r="6" spans="2:18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  <c r="N6" s="10" t="s">
        <v>213</v>
      </c>
    </row>
    <row r="7" spans="2:18" s="26" customFormat="1" ht="15.75" thickBot="1" x14ac:dyDescent="0.3"/>
    <row r="8" spans="2:18" s="26" customFormat="1" ht="17.25" thickTop="1" thickBot="1" x14ac:dyDescent="0.3">
      <c r="B8" s="60" t="s">
        <v>118</v>
      </c>
      <c r="C8" s="2" t="s">
        <v>252</v>
      </c>
      <c r="D8" s="11" t="s">
        <v>255</v>
      </c>
      <c r="F8" s="14">
        <f>IFERROR(INDEX(TB!$G:$G,MATCH(B8,TB!$B:$B,0)),"n/a")</f>
        <v>20000</v>
      </c>
      <c r="H8" s="47">
        <v>16000</v>
      </c>
      <c r="J8" s="47">
        <v>12000</v>
      </c>
      <c r="L8" s="45">
        <v>40000</v>
      </c>
      <c r="N8" s="56">
        <f>IFERROR(ROUND(INDEX(TB!$G:$G,MATCH(B8,TB!$B:$B,0))-F8,2),"n/a")</f>
        <v>0</v>
      </c>
    </row>
    <row r="9" spans="2:18" s="26" customFormat="1" ht="16.5" thickTop="1" thickBot="1" x14ac:dyDescent="0.3"/>
    <row r="10" spans="2:18" s="26" customFormat="1" ht="17.25" thickTop="1" thickBot="1" x14ac:dyDescent="0.3">
      <c r="B10" s="60" t="s">
        <v>258</v>
      </c>
      <c r="C10" s="2" t="s">
        <v>253</v>
      </c>
      <c r="D10" s="11" t="s">
        <v>256</v>
      </c>
      <c r="F10" s="14">
        <f>IFERROR(INDEX(TB!$G:$G,MATCH(B10,TB!$B:$B,0)),"n/a")</f>
        <v>17000</v>
      </c>
      <c r="H10" s="47">
        <v>32000</v>
      </c>
      <c r="J10" s="47">
        <v>24000</v>
      </c>
      <c r="L10" s="45">
        <v>19000</v>
      </c>
      <c r="N10" s="56">
        <f>IFERROR(ROUND(INDEX(TB!$G:$G,MATCH(B10,TB!$B:$B,0))-F10,2),"n/a")</f>
        <v>0</v>
      </c>
    </row>
    <row r="11" spans="2:18" s="26" customFormat="1" ht="16.5" thickTop="1" thickBot="1" x14ac:dyDescent="0.3"/>
    <row r="12" spans="2:18" s="26" customFormat="1" ht="16.5" thickTop="1" thickBot="1" x14ac:dyDescent="0.3">
      <c r="B12" s="54" t="s">
        <v>259</v>
      </c>
      <c r="C12" s="2" t="s">
        <v>254</v>
      </c>
      <c r="D12" s="11" t="s">
        <v>257</v>
      </c>
      <c r="F12" s="14">
        <f>IFERROR(INDEX(TB!$G:$G,MATCH(B12,TB!$B:$B,0)),"n/a")</f>
        <v>8570</v>
      </c>
      <c r="H12" s="47">
        <v>4710</v>
      </c>
      <c r="J12" s="47">
        <v>6580</v>
      </c>
      <c r="L12" s="45">
        <v>4550</v>
      </c>
      <c r="N12" s="56">
        <f>IFERROR(ROUND(INDEX(TB!$G:$G,MATCH(B12,TB!$B:$B,0))-F12,2),"n/a")</f>
        <v>0</v>
      </c>
    </row>
    <row r="13" spans="2:18" ht="15.75" thickTop="1" x14ac:dyDescent="0.25"/>
    <row r="14" spans="2:18" ht="15.75" x14ac:dyDescent="0.25">
      <c r="F14" s="13">
        <f>SUM(F7:F13)</f>
        <v>45570</v>
      </c>
      <c r="H14" s="13">
        <f>SUM(H7:H13)</f>
        <v>52710</v>
      </c>
      <c r="J14" s="13">
        <f>SUM(J7:J13)</f>
        <v>42580</v>
      </c>
      <c r="L14" s="13">
        <f>SUM(L7:L13)</f>
        <v>63550</v>
      </c>
    </row>
    <row r="21" spans="2:2" x14ac:dyDescent="0.25">
      <c r="B21" s="53"/>
    </row>
    <row r="22" spans="2:2" x14ac:dyDescent="0.25">
      <c r="B22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EDB9-E3DD-4498-B735-16FACB6DF442}">
  <sheetPr codeName="Sheet19">
    <tabColor theme="8" tint="-0.249977111117893"/>
  </sheetPr>
  <dimension ref="A1:R14"/>
  <sheetViews>
    <sheetView showGridLines="0" workbookViewId="0"/>
  </sheetViews>
  <sheetFormatPr defaultRowHeight="15" x14ac:dyDescent="0.25"/>
  <cols>
    <col min="1" max="1" width="3.7109375" style="26" customWidth="1"/>
    <col min="2" max="2" width="7.42578125" style="26" customWidth="1"/>
    <col min="3" max="3" width="24.7109375" style="26" customWidth="1"/>
    <col min="4" max="4" width="5.7109375" style="26" customWidth="1"/>
    <col min="5" max="5" width="3.7109375" style="26" customWidth="1"/>
    <col min="6" max="6" width="10.7109375" style="26" customWidth="1"/>
    <col min="7" max="7" width="3.7109375" style="26" customWidth="1"/>
    <col min="8" max="8" width="10.7109375" style="26" customWidth="1"/>
    <col min="9" max="9" width="3.7109375" style="26" customWidth="1"/>
    <col min="10" max="10" width="10.7109375" style="26" customWidth="1"/>
    <col min="11" max="11" width="3.7109375" style="26" customWidth="1"/>
    <col min="12" max="12" width="10.7109375" style="26" customWidth="1"/>
    <col min="13" max="13" width="3.7109375" style="26" customWidth="1"/>
    <col min="14" max="14" width="10.7109375" style="26" customWidth="1"/>
    <col min="15" max="15" width="10.7109375" customWidth="1"/>
    <col min="16" max="18" width="15.7109375" customWidth="1"/>
  </cols>
  <sheetData>
    <row r="1" spans="2:18" s="7" customFormat="1" ht="18.75" x14ac:dyDescent="0.3">
      <c r="B1" s="7" t="str">
        <f>Name</f>
        <v>Demo Company</v>
      </c>
      <c r="R1" s="43" t="s">
        <v>168</v>
      </c>
    </row>
    <row r="2" spans="2:18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8" s="7" customFormat="1" ht="18.75" x14ac:dyDescent="0.3">
      <c r="B3" s="7" t="s">
        <v>216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8" s="7" customFormat="1" ht="18.75" x14ac:dyDescent="0.3"/>
    <row r="5" spans="2:18" s="26" customFormat="1" x14ac:dyDescent="0.25"/>
    <row r="6" spans="2:18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  <c r="N6" s="10" t="s">
        <v>213</v>
      </c>
    </row>
    <row r="7" spans="2:18" s="26" customFormat="1" ht="15.75" thickBot="1" x14ac:dyDescent="0.3"/>
    <row r="8" spans="2:18" s="26" customFormat="1" ht="17.25" thickTop="1" thickBot="1" x14ac:dyDescent="0.3">
      <c r="B8" s="60" t="s">
        <v>128</v>
      </c>
      <c r="C8" s="2" t="s">
        <v>263</v>
      </c>
      <c r="D8" s="11" t="s">
        <v>169</v>
      </c>
      <c r="F8" s="15">
        <f>'J2'!F10</f>
        <v>8668.24</v>
      </c>
      <c r="H8" s="47">
        <v>7700</v>
      </c>
      <c r="J8" s="47">
        <v>10000</v>
      </c>
      <c r="L8" s="45">
        <v>5000</v>
      </c>
      <c r="N8" s="56">
        <f>IFERROR(ROUND(-INDEX(TB!$G:$G,MATCH(B8,TB!$B:$B,0))-F8,2),"n/a")</f>
        <v>0</v>
      </c>
    </row>
    <row r="9" spans="2:18" s="26" customFormat="1" ht="16.5" thickTop="1" thickBot="1" x14ac:dyDescent="0.3"/>
    <row r="10" spans="2:18" s="26" customFormat="1" ht="17.25" thickTop="1" thickBot="1" x14ac:dyDescent="0.3">
      <c r="B10" s="60" t="s">
        <v>210</v>
      </c>
      <c r="C10" s="2" t="s">
        <v>211</v>
      </c>
      <c r="D10" s="11" t="s">
        <v>170</v>
      </c>
      <c r="F10" s="15">
        <f>'J3'!S30</f>
        <v>1000</v>
      </c>
      <c r="H10" s="47">
        <v>6452</v>
      </c>
      <c r="J10" s="47">
        <v>2000</v>
      </c>
      <c r="L10" s="45">
        <v>4000</v>
      </c>
      <c r="N10" s="56">
        <f>IFERROR(ROUND(-INDEX(TB!$G:$G,MATCH(B10,TB!$B:$B,0))-F10,2),"n/a")</f>
        <v>0</v>
      </c>
    </row>
    <row r="11" spans="2:18" s="26" customFormat="1" ht="16.5" thickTop="1" thickBot="1" x14ac:dyDescent="0.3"/>
    <row r="12" spans="2:18" s="26" customFormat="1" ht="16.5" thickTop="1" thickBot="1" x14ac:dyDescent="0.3">
      <c r="B12" s="54" t="s">
        <v>265</v>
      </c>
      <c r="C12" s="2" t="s">
        <v>264</v>
      </c>
      <c r="D12" s="11" t="s">
        <v>171</v>
      </c>
      <c r="F12" s="15">
        <f>'J4'!F14</f>
        <v>3490.4700000000003</v>
      </c>
      <c r="H12" s="47">
        <v>147</v>
      </c>
      <c r="J12" s="47">
        <v>500</v>
      </c>
      <c r="L12" s="45">
        <v>1000</v>
      </c>
      <c r="N12" s="56" t="str">
        <f>IFERROR(ROUND(-INDEX(TB!$G:$G,MATCH(B12,TB!$B:$B,0))-F12,2),"n/a")</f>
        <v>n/a</v>
      </c>
    </row>
    <row r="13" spans="2:18" ht="15.75" thickTop="1" x14ac:dyDescent="0.25"/>
    <row r="14" spans="2:18" ht="15.75" x14ac:dyDescent="0.25">
      <c r="F14" s="13">
        <f>SUM(F7:F13)</f>
        <v>13158.71</v>
      </c>
      <c r="H14" s="13">
        <f>SUM(H7:H13)</f>
        <v>14299</v>
      </c>
      <c r="J14" s="13">
        <f>SUM(J7:J13)</f>
        <v>12500</v>
      </c>
      <c r="L14" s="13">
        <f>SUM(L7:L13)</f>
        <v>10000</v>
      </c>
    </row>
  </sheetData>
  <hyperlinks>
    <hyperlink ref="D8" location="Ref_J2_J1" display="J2" xr:uid="{15B0ABD5-3DBF-45C2-85AD-BFCFD34F61E3}"/>
    <hyperlink ref="D10" location="Ref_J3_J1" display="J3" xr:uid="{FAEFC957-3909-4BF2-B07F-9C537F600229}"/>
    <hyperlink ref="D12" location="Ref_J4_J1" display="J4" xr:uid="{1D3517BA-2D7E-4F49-BC64-68C20F48E947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6EC2E-4B2F-49CF-A2F2-45788B1DA4A2}">
  <sheetPr codeName="Sheet20">
    <tabColor theme="8" tint="0.59999389629810485"/>
  </sheetPr>
  <dimension ref="A1:P13"/>
  <sheetViews>
    <sheetView showGridLines="0" workbookViewId="0"/>
  </sheetViews>
  <sheetFormatPr defaultRowHeight="15" x14ac:dyDescent="0.25"/>
  <cols>
    <col min="1" max="1" width="3.7109375" style="26" customWidth="1"/>
    <col min="2" max="2" width="7.42578125" style="26" customWidth="1"/>
    <col min="3" max="3" width="24.7109375" style="26" customWidth="1"/>
    <col min="4" max="4" width="5.7109375" style="26" customWidth="1"/>
    <col min="5" max="5" width="3.7109375" style="26" customWidth="1"/>
    <col min="6" max="6" width="10.7109375" style="26" customWidth="1"/>
    <col min="7" max="7" width="3.7109375" style="26" customWidth="1"/>
    <col min="8" max="8" width="10.7109375" style="26" customWidth="1"/>
    <col min="9" max="9" width="3.7109375" style="26" customWidth="1"/>
    <col min="10" max="10" width="10.7109375" style="26" customWidth="1"/>
    <col min="11" max="11" width="3.7109375" style="26" customWidth="1"/>
    <col min="12" max="12" width="10.7109375" style="26" customWidth="1"/>
    <col min="13" max="13" width="10.7109375" customWidth="1"/>
    <col min="14" max="16" width="15.7109375" customWidth="1"/>
  </cols>
  <sheetData>
    <row r="1" spans="2:16" s="7" customFormat="1" ht="18.75" x14ac:dyDescent="0.3">
      <c r="B1" s="7" t="str">
        <f>Name</f>
        <v>Demo Company</v>
      </c>
      <c r="P1" s="43" t="s">
        <v>169</v>
      </c>
    </row>
    <row r="2" spans="2:16" s="7" customFormat="1" ht="18.75" x14ac:dyDescent="0.3">
      <c r="B2" s="7" t="str">
        <f>ReportName</f>
        <v>Management accounts for the period to 31 August 2021</v>
      </c>
      <c r="N2" s="7" t="str">
        <f>MacroData!$F$7</f>
        <v/>
      </c>
      <c r="O2" s="7" t="str">
        <f>MacroData!$F$8</f>
        <v/>
      </c>
      <c r="P2" s="7" t="str">
        <f>MacroData!$F$9</f>
        <v/>
      </c>
    </row>
    <row r="3" spans="2:16" s="7" customFormat="1" ht="18.75" x14ac:dyDescent="0.3">
      <c r="B3" s="7" t="s">
        <v>273</v>
      </c>
      <c r="N3" s="44" t="str">
        <f>MacroData!$E$7</f>
        <v/>
      </c>
      <c r="O3" s="44" t="str">
        <f>MacroData!$E$8</f>
        <v/>
      </c>
      <c r="P3" s="44" t="str">
        <f>MacroData!$E$9</f>
        <v/>
      </c>
    </row>
    <row r="4" spans="2:16" s="7" customFormat="1" ht="18.75" x14ac:dyDescent="0.3"/>
    <row r="5" spans="2:16" s="26" customFormat="1" x14ac:dyDescent="0.25"/>
    <row r="6" spans="2:16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</row>
    <row r="7" spans="2:16" s="26" customFormat="1" x14ac:dyDescent="0.25"/>
    <row r="8" spans="2:16" s="26" customFormat="1" x14ac:dyDescent="0.25">
      <c r="B8" s="47" t="s">
        <v>212</v>
      </c>
      <c r="C8" s="2" t="s">
        <v>225</v>
      </c>
      <c r="D8" s="11" t="s">
        <v>266</v>
      </c>
      <c r="F8" s="47">
        <v>8668.24</v>
      </c>
      <c r="H8" s="47">
        <v>4012</v>
      </c>
      <c r="J8" s="47">
        <v>6589</v>
      </c>
      <c r="L8" s="45">
        <v>1456</v>
      </c>
    </row>
    <row r="9" spans="2:16" s="26" customFormat="1" x14ac:dyDescent="0.25"/>
    <row r="10" spans="2:16" s="26" customFormat="1" ht="15.75" x14ac:dyDescent="0.25">
      <c r="B10" s="60" t="s">
        <v>128</v>
      </c>
      <c r="C10" s="2" t="s">
        <v>226</v>
      </c>
      <c r="D10" s="11" t="s">
        <v>168</v>
      </c>
      <c r="F10" s="14">
        <f>IFERROR(-INDEX(TB!$G:$G,MATCH(B10,TB!$B:$B,0)),"n/a")</f>
        <v>8668.24</v>
      </c>
      <c r="H10" s="47">
        <v>4012</v>
      </c>
      <c r="J10" s="47">
        <v>6589</v>
      </c>
      <c r="L10" s="45">
        <v>1456</v>
      </c>
    </row>
    <row r="11" spans="2:16" s="26" customFormat="1" ht="15.75" thickBot="1" x14ac:dyDescent="0.3"/>
    <row r="12" spans="2:16" s="26" customFormat="1" ht="16.5" thickTop="1" thickBot="1" x14ac:dyDescent="0.3">
      <c r="C12" s="2" t="s">
        <v>227</v>
      </c>
      <c r="F12" s="57">
        <f>F8-F10</f>
        <v>0</v>
      </c>
      <c r="H12" s="57">
        <f>H8-H10</f>
        <v>0</v>
      </c>
      <c r="J12" s="57">
        <f>J8-J10</f>
        <v>0</v>
      </c>
      <c r="L12" s="57">
        <f>L8-L10</f>
        <v>0</v>
      </c>
    </row>
    <row r="13" spans="2:16" ht="15.75" thickTop="1" x14ac:dyDescent="0.25"/>
  </sheetData>
  <hyperlinks>
    <hyperlink ref="D10" location="Ref_J1_J2" display="J1" xr:uid="{CA6B7563-8592-4B1C-B5A2-656D75088C54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451E4-071F-4E4E-88D8-9D58B63DFE26}">
  <sheetPr codeName="Sheet21">
    <tabColor theme="8" tint="0.59999389629810485"/>
  </sheetPr>
  <dimension ref="A1:AB32"/>
  <sheetViews>
    <sheetView showGridLines="0" workbookViewId="0"/>
  </sheetViews>
  <sheetFormatPr defaultRowHeight="15" x14ac:dyDescent="0.25"/>
  <cols>
    <col min="1" max="1" width="3.7109375" style="26" customWidth="1"/>
    <col min="2" max="2" width="7.42578125" style="26" customWidth="1"/>
    <col min="3" max="3" width="24.7109375" style="26" customWidth="1"/>
    <col min="4" max="4" width="5.7109375" style="26" customWidth="1"/>
    <col min="5" max="5" width="11.140625" style="26" bestFit="1" customWidth="1"/>
    <col min="6" max="6" width="3.7109375" style="26" customWidth="1"/>
    <col min="7" max="10" width="10.7109375" style="26" customWidth="1"/>
    <col min="11" max="11" width="3.7109375" style="26" customWidth="1"/>
    <col min="12" max="13" width="10.7109375" style="26" customWidth="1"/>
    <col min="14" max="15" width="3.7109375" style="26" customWidth="1"/>
    <col min="16" max="16" width="10.7109375" style="26" customWidth="1"/>
    <col min="17" max="18" width="3.7109375" style="26" customWidth="1"/>
    <col min="19" max="19" width="10.7109375" style="26" customWidth="1"/>
    <col min="20" max="20" width="3.7109375" style="26" customWidth="1"/>
    <col min="21" max="21" width="10.7109375" style="26" customWidth="1"/>
    <col min="22" max="22" width="3.7109375" style="26" customWidth="1"/>
    <col min="23" max="23" width="10.7109375" style="26" customWidth="1"/>
    <col min="24" max="24" width="3.7109375" style="26" customWidth="1"/>
    <col min="25" max="25" width="10.7109375" style="26" customWidth="1"/>
    <col min="26" max="28" width="14.85546875" style="26" bestFit="1" customWidth="1"/>
  </cols>
  <sheetData>
    <row r="1" spans="2:28" s="7" customFormat="1" ht="18.75" x14ac:dyDescent="0.3">
      <c r="B1" s="7" t="str">
        <f>Name</f>
        <v>Demo Company</v>
      </c>
      <c r="AB1" s="43" t="s">
        <v>170</v>
      </c>
    </row>
    <row r="2" spans="2:28" s="7" customFormat="1" ht="18.75" x14ac:dyDescent="0.3">
      <c r="B2" s="7" t="str">
        <f>ReportName</f>
        <v>Management accounts for the period to 31 August 2021</v>
      </c>
      <c r="Z2" s="7" t="str">
        <f>MacroData!$F$7</f>
        <v/>
      </c>
      <c r="AA2" s="7" t="str">
        <f>MacroData!$F$8</f>
        <v/>
      </c>
      <c r="AB2" s="7" t="str">
        <f>MacroData!$F$9</f>
        <v/>
      </c>
    </row>
    <row r="3" spans="2:28" s="7" customFormat="1" ht="18.75" x14ac:dyDescent="0.3">
      <c r="B3" s="7" t="s">
        <v>267</v>
      </c>
      <c r="Z3" s="44" t="str">
        <f>MacroData!$E$7</f>
        <v/>
      </c>
      <c r="AA3" s="44" t="str">
        <f>MacroData!$E$8</f>
        <v/>
      </c>
      <c r="AB3" s="44" t="str">
        <f>MacroData!$E$9</f>
        <v/>
      </c>
    </row>
    <row r="4" spans="2:28" s="7" customFormat="1" ht="18.75" x14ac:dyDescent="0.3"/>
    <row r="5" spans="2:28" s="26" customFormat="1" x14ac:dyDescent="0.25"/>
    <row r="6" spans="2:28" s="26" customFormat="1" x14ac:dyDescent="0.25">
      <c r="C6" s="42">
        <v>44439</v>
      </c>
      <c r="L6" s="72" t="s">
        <v>221</v>
      </c>
      <c r="M6" s="72"/>
    </row>
    <row r="7" spans="2:28" s="26" customFormat="1" x14ac:dyDescent="0.25"/>
    <row r="8" spans="2:28" s="26" customFormat="1" x14ac:dyDescent="0.25">
      <c r="C8" s="10" t="s">
        <v>230</v>
      </c>
      <c r="E8" s="10" t="s">
        <v>231</v>
      </c>
      <c r="G8" s="10" t="s">
        <v>232</v>
      </c>
      <c r="H8" s="10" t="s">
        <v>233</v>
      </c>
      <c r="I8" s="10" t="s">
        <v>234</v>
      </c>
      <c r="J8" s="10" t="s">
        <v>235</v>
      </c>
      <c r="L8" s="10" t="s">
        <v>245</v>
      </c>
      <c r="M8" s="10" t="s">
        <v>141</v>
      </c>
      <c r="P8" s="10" t="s">
        <v>236</v>
      </c>
      <c r="S8" s="10">
        <f>ReportingMonth</f>
        <v>44439</v>
      </c>
      <c r="U8" s="10">
        <f>EOMONTH(S8,-1)</f>
        <v>44408</v>
      </c>
      <c r="W8" s="10">
        <f>EOMONTH(U8,-1)</f>
        <v>44377</v>
      </c>
      <c r="Y8" s="10">
        <f>YE0</f>
        <v>44196</v>
      </c>
    </row>
    <row r="9" spans="2:28" s="26" customFormat="1" x14ac:dyDescent="0.25"/>
    <row r="10" spans="2:28" s="26" customFormat="1" x14ac:dyDescent="0.25">
      <c r="B10" s="11" t="s">
        <v>268</v>
      </c>
      <c r="C10" s="2" t="s">
        <v>200</v>
      </c>
      <c r="E10" s="47">
        <v>100</v>
      </c>
      <c r="G10" s="40">
        <v>44409</v>
      </c>
      <c r="H10" s="40">
        <v>44561</v>
      </c>
      <c r="I10" s="15">
        <f>ROUND((H10-G10)/30.5,0)</f>
        <v>5</v>
      </c>
      <c r="J10" s="15">
        <f>MAX(MIN(ROUND(($C$6-G10)/30.5,0),I10),0)</f>
        <v>1</v>
      </c>
      <c r="L10" s="62" t="str">
        <f>IF(ISNUMBER((MATCH(M10,Journals!$F$28:$F$36,0))),"ü","û")</f>
        <v>ü</v>
      </c>
      <c r="M10" s="47" t="s">
        <v>100</v>
      </c>
      <c r="P10" s="15">
        <f>S10-U10</f>
        <v>20</v>
      </c>
      <c r="S10" s="15">
        <f>MIN(ROUND((E10/I10)*J10,-1),E10)</f>
        <v>20</v>
      </c>
      <c r="U10" s="47">
        <v>0</v>
      </c>
      <c r="W10" s="47">
        <v>0</v>
      </c>
      <c r="Y10" s="45">
        <v>80</v>
      </c>
    </row>
    <row r="11" spans="2:28" s="26" customFormat="1" x14ac:dyDescent="0.25">
      <c r="L11" s="62"/>
    </row>
    <row r="12" spans="2:28" s="26" customFormat="1" x14ac:dyDescent="0.25">
      <c r="B12" s="11"/>
      <c r="C12" s="2" t="s">
        <v>201</v>
      </c>
      <c r="E12" s="47">
        <v>500</v>
      </c>
      <c r="G12" s="40">
        <v>44440</v>
      </c>
      <c r="H12" s="40">
        <v>44469</v>
      </c>
      <c r="I12" s="15">
        <f>ROUND((H12-G12)/30.5,0)</f>
        <v>1</v>
      </c>
      <c r="J12" s="15">
        <f>MAX(MIN(ROUND(($C$6-G12)/30.5,0),I12),0)</f>
        <v>0</v>
      </c>
      <c r="L12" s="62" t="str">
        <f>IF(ISNUMBER((MATCH(M12,Journals!$F$28:$F$36,0))),"ü","û")</f>
        <v>ü</v>
      </c>
      <c r="M12" s="47" t="s">
        <v>102</v>
      </c>
      <c r="P12" s="15">
        <f>S12-U12</f>
        <v>0</v>
      </c>
      <c r="S12" s="15">
        <f>MIN(ROUND((E12/I12)*J12,-1),E12)</f>
        <v>0</v>
      </c>
      <c r="U12" s="47">
        <v>0</v>
      </c>
      <c r="W12" s="47">
        <v>0</v>
      </c>
      <c r="Y12" s="45">
        <v>400</v>
      </c>
    </row>
    <row r="13" spans="2:28" x14ac:dyDescent="0.25">
      <c r="L13" s="62"/>
    </row>
    <row r="14" spans="2:28" x14ac:dyDescent="0.25">
      <c r="B14" s="11" t="s">
        <v>269</v>
      </c>
      <c r="C14" s="2" t="s">
        <v>202</v>
      </c>
      <c r="E14" s="47">
        <v>250</v>
      </c>
      <c r="G14" s="40">
        <v>44378</v>
      </c>
      <c r="H14" s="40">
        <v>44561</v>
      </c>
      <c r="I14" s="15">
        <f>ROUND((H14-G14)/30.5,0)</f>
        <v>6</v>
      </c>
      <c r="J14" s="15">
        <f>MAX(MIN(ROUND(($C$6-G14)/30.5,0),I14),0)</f>
        <v>2</v>
      </c>
      <c r="L14" s="62" t="str">
        <f>IF(ISNUMBER((MATCH(M14,Journals!$F$28:$F$36,0))),"ü","û")</f>
        <v>ü</v>
      </c>
      <c r="M14" s="47" t="s">
        <v>100</v>
      </c>
      <c r="P14" s="15">
        <f>S14-U14</f>
        <v>40</v>
      </c>
      <c r="S14" s="15">
        <f>MIN(ROUND((E14/I14)*J14,-1),E14)</f>
        <v>80</v>
      </c>
      <c r="U14" s="47">
        <v>40</v>
      </c>
      <c r="W14" s="47">
        <v>0</v>
      </c>
      <c r="Y14" s="45">
        <v>150</v>
      </c>
    </row>
    <row r="15" spans="2:28" x14ac:dyDescent="0.25">
      <c r="L15" s="62"/>
    </row>
    <row r="16" spans="2:28" x14ac:dyDescent="0.25">
      <c r="B16" s="11"/>
      <c r="C16" s="2" t="s">
        <v>203</v>
      </c>
      <c r="E16" s="47">
        <v>700</v>
      </c>
      <c r="G16" s="40">
        <v>44197</v>
      </c>
      <c r="H16" s="40">
        <v>44561</v>
      </c>
      <c r="I16" s="15">
        <f>ROUND((H16-G16)/30.5,0)</f>
        <v>12</v>
      </c>
      <c r="J16" s="15">
        <f>MAX(MIN(ROUND(($C$6-G16)/30.5,0),I16),0)</f>
        <v>8</v>
      </c>
      <c r="L16" s="62" t="str">
        <f>IF(ISNUMBER((MATCH(M16,Journals!$F$28:$F$36,0))),"ü","û")</f>
        <v>ü</v>
      </c>
      <c r="M16" s="47" t="s">
        <v>104</v>
      </c>
      <c r="P16" s="15">
        <f>S16-U16</f>
        <v>60</v>
      </c>
      <c r="S16" s="15">
        <f>MIN(ROUND((E16/I16)*J16,-1),E16)</f>
        <v>470</v>
      </c>
      <c r="U16" s="47">
        <v>410</v>
      </c>
      <c r="W16" s="47">
        <v>350</v>
      </c>
      <c r="Y16" s="45">
        <v>0</v>
      </c>
    </row>
    <row r="17" spans="2:25" x14ac:dyDescent="0.25">
      <c r="L17" s="62"/>
    </row>
    <row r="18" spans="2:25" x14ac:dyDescent="0.25">
      <c r="B18" s="11"/>
      <c r="C18" s="2" t="s">
        <v>237</v>
      </c>
      <c r="E18" s="47">
        <v>120</v>
      </c>
      <c r="G18" s="40">
        <v>44287</v>
      </c>
      <c r="H18" s="40">
        <v>44469</v>
      </c>
      <c r="I18" s="15">
        <f>ROUND((H18-G18)/30.5,0)</f>
        <v>6</v>
      </c>
      <c r="J18" s="15">
        <f>MAX(MIN(ROUND(($C$6-G18)/30.5,0),I18),0)</f>
        <v>5</v>
      </c>
      <c r="L18" s="62" t="str">
        <f>IF(ISNUMBER((MATCH(M18,Journals!$F$28:$F$36,0))),"ü","û")</f>
        <v>ü</v>
      </c>
      <c r="M18" s="47" t="s">
        <v>108</v>
      </c>
      <c r="P18" s="15">
        <f>S18-U18</f>
        <v>20</v>
      </c>
      <c r="S18" s="15">
        <f>MIN(ROUND((E18/I18)*J18,-1),E18)</f>
        <v>100</v>
      </c>
      <c r="U18" s="47">
        <v>80</v>
      </c>
      <c r="W18" s="47">
        <v>60</v>
      </c>
      <c r="Y18" s="45">
        <v>0</v>
      </c>
    </row>
    <row r="19" spans="2:25" x14ac:dyDescent="0.25">
      <c r="L19" s="62"/>
    </row>
    <row r="20" spans="2:25" x14ac:dyDescent="0.25">
      <c r="B20" s="11"/>
      <c r="C20" s="2" t="s">
        <v>238</v>
      </c>
      <c r="E20" s="47">
        <v>0</v>
      </c>
      <c r="G20" s="40">
        <v>44321</v>
      </c>
      <c r="H20" s="40">
        <v>44412</v>
      </c>
      <c r="I20" s="15">
        <f>ROUND((H20-G20)/30.5,0)</f>
        <v>3</v>
      </c>
      <c r="J20" s="15">
        <f>MAX(MIN(ROUND(($C$6-G20)/30.5,0),I20),0)</f>
        <v>3</v>
      </c>
      <c r="L20" s="62" t="str">
        <f>IF(ISNUMBER((MATCH(M20,Journals!$F$28:$F$36,0))),"ü","û")</f>
        <v>ü</v>
      </c>
      <c r="M20" s="47" t="s">
        <v>110</v>
      </c>
      <c r="P20" s="15">
        <f>S20-U20</f>
        <v>-400</v>
      </c>
      <c r="S20" s="15">
        <f>MIN(ROUND((E20/I20)*J20,-1),E20)</f>
        <v>0</v>
      </c>
      <c r="U20" s="47">
        <v>400</v>
      </c>
      <c r="W20" s="47">
        <v>270</v>
      </c>
      <c r="Y20" s="45">
        <v>450</v>
      </c>
    </row>
    <row r="21" spans="2:25" x14ac:dyDescent="0.25">
      <c r="L21" s="62"/>
    </row>
    <row r="22" spans="2:25" x14ac:dyDescent="0.25">
      <c r="B22" s="11"/>
      <c r="C22" s="2" t="s">
        <v>239</v>
      </c>
      <c r="E22" s="47">
        <v>458</v>
      </c>
      <c r="G22" s="40">
        <v>44348</v>
      </c>
      <c r="H22" s="40">
        <v>44712</v>
      </c>
      <c r="I22" s="15">
        <f>ROUND((H22-G22)/30.5,0)</f>
        <v>12</v>
      </c>
      <c r="J22" s="15">
        <f>MAX(MIN(ROUND(($C$6-G22)/30.5,0),I22),0)</f>
        <v>3</v>
      </c>
      <c r="L22" s="62" t="str">
        <f>IF(ISNUMBER((MATCH(M22,Journals!$F$28:$F$36,0))),"ü","û")</f>
        <v>ü</v>
      </c>
      <c r="M22" s="47" t="s">
        <v>110</v>
      </c>
      <c r="P22" s="15">
        <f>S22-U22</f>
        <v>30</v>
      </c>
      <c r="S22" s="15">
        <f>MIN(ROUND((E22/I22)*J22,-1),E22)</f>
        <v>110</v>
      </c>
      <c r="U22" s="47">
        <v>80</v>
      </c>
      <c r="W22" s="47">
        <v>40</v>
      </c>
      <c r="Y22" s="45">
        <v>0</v>
      </c>
    </row>
    <row r="23" spans="2:25" x14ac:dyDescent="0.25">
      <c r="L23" s="62"/>
    </row>
    <row r="24" spans="2:25" x14ac:dyDescent="0.25">
      <c r="B24" s="11" t="s">
        <v>270</v>
      </c>
      <c r="C24" s="2" t="s">
        <v>240</v>
      </c>
      <c r="E24" s="47">
        <v>521</v>
      </c>
      <c r="G24" s="40">
        <v>44418</v>
      </c>
      <c r="H24" s="40">
        <v>44651</v>
      </c>
      <c r="I24" s="15">
        <f>ROUND((H24-G24)/30.5,0)</f>
        <v>8</v>
      </c>
      <c r="J24" s="15">
        <f>MAX(MIN(ROUND(($C$6-G24)/30.5,0),I24),0)</f>
        <v>1</v>
      </c>
      <c r="L24" s="62" t="str">
        <f>IF(ISNUMBER((MATCH(M24,Journals!$F$28:$F$36,0))),"ü","û")</f>
        <v>ü</v>
      </c>
      <c r="M24" s="47" t="s">
        <v>112</v>
      </c>
      <c r="P24" s="15">
        <f>S24-U24</f>
        <v>70</v>
      </c>
      <c r="S24" s="15">
        <f>MIN(ROUND((E24/I24)*J24,-1),E24)</f>
        <v>70</v>
      </c>
      <c r="U24" s="47">
        <v>0</v>
      </c>
      <c r="W24" s="47">
        <v>0</v>
      </c>
      <c r="Y24" s="45">
        <v>457</v>
      </c>
    </row>
    <row r="25" spans="2:25" x14ac:dyDescent="0.25">
      <c r="L25" s="62"/>
    </row>
    <row r="26" spans="2:25" x14ac:dyDescent="0.25">
      <c r="B26" s="11"/>
      <c r="C26" s="2" t="s">
        <v>241</v>
      </c>
      <c r="E26" s="47">
        <v>3000</v>
      </c>
      <c r="G26" s="40">
        <v>44470</v>
      </c>
      <c r="H26" s="40">
        <v>44834</v>
      </c>
      <c r="I26" s="15">
        <f>ROUND((H26-G26)/30.5,0)</f>
        <v>12</v>
      </c>
      <c r="J26" s="15">
        <f>MAX(MIN(ROUND(($C$6-G26)/30.5,0),I26),0)</f>
        <v>0</v>
      </c>
      <c r="L26" s="62" t="str">
        <f>IF(ISNUMBER((MATCH(M26,Journals!$F$28:$F$36,0))),"ü","û")</f>
        <v>ü</v>
      </c>
      <c r="M26" s="47" t="s">
        <v>100</v>
      </c>
      <c r="P26" s="15">
        <f>S26-U26</f>
        <v>0</v>
      </c>
      <c r="S26" s="15">
        <f>MIN(ROUND((E26/I26)*J26,-1),E26)</f>
        <v>0</v>
      </c>
      <c r="U26" s="47">
        <v>0</v>
      </c>
      <c r="W26" s="47">
        <v>0</v>
      </c>
      <c r="Y26" s="45">
        <v>1400</v>
      </c>
    </row>
    <row r="27" spans="2:25" x14ac:dyDescent="0.25">
      <c r="L27" s="62"/>
    </row>
    <row r="28" spans="2:25" x14ac:dyDescent="0.25">
      <c r="B28" s="11"/>
      <c r="C28" s="2" t="s">
        <v>242</v>
      </c>
      <c r="E28" s="47">
        <v>150</v>
      </c>
      <c r="G28" s="40">
        <v>44197</v>
      </c>
      <c r="H28" s="40">
        <v>44435</v>
      </c>
      <c r="I28" s="15">
        <f>ROUND((H28-G28)/30.5,0)</f>
        <v>8</v>
      </c>
      <c r="J28" s="15">
        <f>MAX(MIN(ROUND(($C$6-G28)/30.5,0),I28),0)</f>
        <v>8</v>
      </c>
      <c r="L28" s="62" t="str">
        <f>IF(ISNUMBER((MATCH(M28,Journals!$F$28:$F$36,0))),"ü","û")</f>
        <v>ü</v>
      </c>
      <c r="M28" s="47" t="s">
        <v>102</v>
      </c>
      <c r="P28" s="15">
        <f>S28-U28</f>
        <v>150</v>
      </c>
      <c r="S28" s="15">
        <f>MIN(ROUND((E28/I28)*J28,-1),E28)</f>
        <v>150</v>
      </c>
      <c r="U28" s="47">
        <v>0</v>
      </c>
      <c r="W28" s="47">
        <v>780</v>
      </c>
      <c r="Y28" s="45">
        <v>0</v>
      </c>
    </row>
    <row r="29" spans="2:25" x14ac:dyDescent="0.25">
      <c r="L29" s="62"/>
    </row>
    <row r="30" spans="2:25" ht="15.75" x14ac:dyDescent="0.25">
      <c r="L30" s="62" t="str">
        <f>IF(ISNUMBER((MATCH(M30,Journals!$F$28:$F$36,0))),"ü","û")</f>
        <v>ü</v>
      </c>
      <c r="M30" s="54" t="s">
        <v>210</v>
      </c>
      <c r="P30" s="13">
        <f>SUM(P9:P29)</f>
        <v>-10</v>
      </c>
      <c r="S30" s="13">
        <f>SUM(S9:S29)</f>
        <v>1000</v>
      </c>
      <c r="U30" s="13">
        <f>SUM(U9:U29)</f>
        <v>1010</v>
      </c>
      <c r="W30" s="13">
        <f>SUM(W9:W29)</f>
        <v>1500</v>
      </c>
      <c r="Y30" s="13">
        <f>SUM(Y9:Y29)</f>
        <v>2937</v>
      </c>
    </row>
    <row r="31" spans="2:25" x14ac:dyDescent="0.25">
      <c r="S31" s="11" t="s">
        <v>168</v>
      </c>
    </row>
    <row r="32" spans="2:25" x14ac:dyDescent="0.25">
      <c r="U32" s="46"/>
    </row>
  </sheetData>
  <sheetProtection algorithmName="SHA-512" hashValue="tgjIVStqfL18ogXk3+6KfjD+HbIskpRFJ3vF2mUHm0yEi5QoWQ0XLkkS36LSRrK8974ZPdK3HyfDibpUf6ifXQ==" saltValue="WDcaigZ3wqPfTQ4HiToJWg==" spinCount="100000" sheet="1" objects="1" scenarios="1"/>
  <mergeCells count="1">
    <mergeCell ref="L6:M6"/>
  </mergeCells>
  <conditionalFormatting sqref="L9:L30">
    <cfRule type="cellIs" dxfId="1" priority="1" stopIfTrue="1" operator="equal">
      <formula>"û"</formula>
    </cfRule>
    <cfRule type="cellIs" dxfId="0" priority="2" stopIfTrue="1" operator="equal">
      <formula>"ü"</formula>
    </cfRule>
  </conditionalFormatting>
  <hyperlinks>
    <hyperlink ref="S31" location="Ref_J1_J3" display="J1" xr:uid="{6CA2F116-E84D-4C1B-B3BE-873827E12B19}"/>
    <hyperlink ref="L6:M6" location="Ref_JNL_J3" display="JNL" xr:uid="{91428B6B-A05F-4E8C-AD3B-53AFEE2A715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14E5B-BCB5-47EE-9113-DF319BC759F5}">
  <sheetPr codeName="Sheet22">
    <tabColor theme="8" tint="0.59999389629810485"/>
  </sheetPr>
  <dimension ref="A1:R15"/>
  <sheetViews>
    <sheetView showGridLines="0" workbookViewId="0"/>
  </sheetViews>
  <sheetFormatPr defaultRowHeight="15" x14ac:dyDescent="0.25"/>
  <cols>
    <col min="1" max="1" width="3.7109375" style="26" customWidth="1"/>
    <col min="2" max="2" width="7.42578125" style="26" customWidth="1"/>
    <col min="3" max="3" width="24.7109375" style="26" customWidth="1"/>
    <col min="4" max="4" width="5.7109375" style="26" customWidth="1"/>
    <col min="5" max="5" width="3.7109375" style="26" customWidth="1"/>
    <col min="6" max="6" width="10.7109375" style="26" customWidth="1"/>
    <col min="7" max="7" width="3.7109375" style="26" customWidth="1"/>
    <col min="8" max="8" width="10.7109375" style="26" customWidth="1"/>
    <col min="9" max="9" width="3.7109375" style="26" customWidth="1"/>
    <col min="10" max="10" width="10.7109375" style="26" customWidth="1"/>
    <col min="11" max="11" width="3.7109375" style="26" customWidth="1"/>
    <col min="12" max="12" width="10.7109375" style="26" customWidth="1"/>
    <col min="13" max="13" width="3.7109375" style="26" customWidth="1"/>
    <col min="14" max="14" width="10.7109375" style="26" customWidth="1"/>
    <col min="15" max="15" width="10.7109375" customWidth="1"/>
    <col min="16" max="18" width="15.7109375" customWidth="1"/>
  </cols>
  <sheetData>
    <row r="1" spans="2:18" s="7" customFormat="1" ht="18.75" x14ac:dyDescent="0.3">
      <c r="B1" s="7" t="str">
        <f>Name</f>
        <v>Demo Company</v>
      </c>
      <c r="R1" s="43" t="s">
        <v>171</v>
      </c>
    </row>
    <row r="2" spans="2:18" s="7" customFormat="1" ht="18.75" x14ac:dyDescent="0.3">
      <c r="B2" s="7" t="str">
        <f>ReportName</f>
        <v>Management accounts for the period to 31 August 2021</v>
      </c>
      <c r="P2" s="7" t="str">
        <f>MacroData!$F$7</f>
        <v/>
      </c>
      <c r="Q2" s="7" t="str">
        <f>MacroData!$F$8</f>
        <v/>
      </c>
      <c r="R2" s="7" t="str">
        <f>MacroData!$F$9</f>
        <v/>
      </c>
    </row>
    <row r="3" spans="2:18" s="7" customFormat="1" ht="18.75" x14ac:dyDescent="0.3">
      <c r="B3" s="7" t="s">
        <v>274</v>
      </c>
      <c r="P3" s="44" t="str">
        <f>MacroData!$E$7</f>
        <v/>
      </c>
      <c r="Q3" s="44" t="str">
        <f>MacroData!$E$8</f>
        <v/>
      </c>
      <c r="R3" s="44" t="str">
        <f>MacroData!$E$9</f>
        <v/>
      </c>
    </row>
    <row r="4" spans="2:18" s="7" customFormat="1" ht="18.75" x14ac:dyDescent="0.3"/>
    <row r="5" spans="2:18" s="26" customFormat="1" x14ac:dyDescent="0.25"/>
    <row r="6" spans="2:18" s="26" customFormat="1" x14ac:dyDescent="0.25">
      <c r="F6" s="10">
        <f>ReportingMonth</f>
        <v>44439</v>
      </c>
      <c r="H6" s="10">
        <f>EOMONTH(F6,-1)</f>
        <v>44408</v>
      </c>
      <c r="J6" s="10">
        <f>EOMONTH(H6,-1)</f>
        <v>44377</v>
      </c>
      <c r="L6" s="10">
        <f>YE0</f>
        <v>44196</v>
      </c>
      <c r="N6" s="10" t="s">
        <v>213</v>
      </c>
    </row>
    <row r="7" spans="2:18" s="26" customFormat="1" ht="15.75" thickBot="1" x14ac:dyDescent="0.3"/>
    <row r="8" spans="2:18" s="26" customFormat="1" ht="17.25" thickTop="1" thickBot="1" x14ac:dyDescent="0.3">
      <c r="B8" s="60" t="s">
        <v>340</v>
      </c>
      <c r="C8" s="2" t="s">
        <v>271</v>
      </c>
      <c r="D8" s="11"/>
      <c r="F8" s="14">
        <f>IFERROR(-INDEX(TB!$G:$G,MATCH(B8,TB!$B:$B,0)),"n/a")</f>
        <v>1500</v>
      </c>
      <c r="H8" s="47">
        <v>800</v>
      </c>
      <c r="J8" s="47">
        <v>1000</v>
      </c>
      <c r="L8" s="45">
        <v>0</v>
      </c>
      <c r="N8" s="56">
        <f>IFERROR(-INDEX(TB!$G:$G,MATCH(B8,TB!$B:$B,0))-F8,"n/a")</f>
        <v>0</v>
      </c>
    </row>
    <row r="9" spans="2:18" s="26" customFormat="1" ht="16.5" thickTop="1" thickBot="1" x14ac:dyDescent="0.3"/>
    <row r="10" spans="2:18" s="26" customFormat="1" ht="17.25" thickTop="1" thickBot="1" x14ac:dyDescent="0.3">
      <c r="B10" s="60" t="s">
        <v>135</v>
      </c>
      <c r="C10" s="2" t="s">
        <v>272</v>
      </c>
      <c r="D10" s="11"/>
      <c r="F10" s="14">
        <f>IFERROR(-INDEX(TB!$G:$G,MATCH(B10,TB!$B:$B,0)),"n/a")</f>
        <v>1000</v>
      </c>
      <c r="H10" s="47">
        <v>300</v>
      </c>
      <c r="J10" s="47">
        <v>100</v>
      </c>
      <c r="L10" s="45">
        <v>270</v>
      </c>
      <c r="N10" s="56">
        <f>IFERROR(-INDEX(TB!$G:$G,MATCH(B10,TB!$B:$B,0))-F10,"n/a")</f>
        <v>0</v>
      </c>
    </row>
    <row r="11" spans="2:18" s="26" customFormat="1" ht="16.5" thickTop="1" thickBot="1" x14ac:dyDescent="0.3"/>
    <row r="12" spans="2:18" s="26" customFormat="1" ht="16.5" thickTop="1" thickBot="1" x14ac:dyDescent="0.3">
      <c r="B12" s="54" t="s">
        <v>133</v>
      </c>
      <c r="C12" s="2" t="s">
        <v>134</v>
      </c>
      <c r="D12" s="11"/>
      <c r="F12" s="14">
        <f>MAX(-INDEX(TB!$G:$G,MATCH(B12,TB!$B:$B,0)),0)</f>
        <v>990.47</v>
      </c>
      <c r="H12" s="47">
        <v>0</v>
      </c>
      <c r="J12" s="47">
        <v>450</v>
      </c>
      <c r="L12" s="45">
        <v>0</v>
      </c>
      <c r="N12" s="56">
        <f>IFERROR(MAX(-INDEX(TB!$G:$G,MATCH(B12,TB!$B:$B,0)),0)-F12,"n/a")</f>
        <v>0</v>
      </c>
    </row>
    <row r="13" spans="2:18" ht="15.75" thickTop="1" x14ac:dyDescent="0.25"/>
    <row r="14" spans="2:18" ht="15.75" x14ac:dyDescent="0.25">
      <c r="F14" s="13">
        <f>SUM(F7:F13)</f>
        <v>3490.4700000000003</v>
      </c>
      <c r="H14" s="13">
        <f>SUM(H7:H13)</f>
        <v>1100</v>
      </c>
      <c r="J14" s="13">
        <f>SUM(J7:J13)</f>
        <v>1550</v>
      </c>
      <c r="L14" s="13">
        <f>SUM(L7:L13)</f>
        <v>270</v>
      </c>
    </row>
    <row r="15" spans="2:18" x14ac:dyDescent="0.25">
      <c r="F15" s="11" t="s">
        <v>168</v>
      </c>
    </row>
  </sheetData>
  <hyperlinks>
    <hyperlink ref="F15" location="Ref_J1_J4" display="J1" xr:uid="{61F46FEB-35E8-4C22-9FD0-DCA294D90228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4D53-840E-4719-88D1-DABEB09E7EBE}">
  <sheetPr codeName="Sheet24">
    <tabColor theme="8" tint="0.39997558519241921"/>
  </sheetPr>
  <dimension ref="B1:N23"/>
  <sheetViews>
    <sheetView showGridLines="0" workbookViewId="0"/>
  </sheetViews>
  <sheetFormatPr defaultRowHeight="15" x14ac:dyDescent="0.25"/>
  <cols>
    <col min="1" max="1" width="3.7109375" customWidth="1"/>
    <col min="2" max="2" width="15.7109375" customWidth="1"/>
    <col min="3" max="3" width="3.7109375" customWidth="1"/>
    <col min="4" max="14" width="15.7109375" customWidth="1"/>
  </cols>
  <sheetData>
    <row r="1" spans="2:14" s="7" customFormat="1" ht="18.75" x14ac:dyDescent="0.3">
      <c r="B1" s="7" t="str">
        <f>Name</f>
        <v>Demo Company</v>
      </c>
      <c r="M1" s="43" t="s">
        <v>172</v>
      </c>
    </row>
    <row r="2" spans="2:14" s="7" customFormat="1" ht="18.75" x14ac:dyDescent="0.3">
      <c r="B2" s="7" t="str">
        <f>ReportName</f>
        <v>Management accounts for the period to 31 August 2021</v>
      </c>
      <c r="K2" s="7" t="str">
        <f>MacroData!$F$7</f>
        <v/>
      </c>
      <c r="L2" s="7" t="str">
        <f>MacroData!$F$8</f>
        <v/>
      </c>
      <c r="M2" s="7" t="str">
        <f>MacroData!$F$9</f>
        <v/>
      </c>
    </row>
    <row r="3" spans="2:14" s="7" customFormat="1" ht="18.75" x14ac:dyDescent="0.3">
      <c r="B3" s="7" t="s">
        <v>217</v>
      </c>
      <c r="K3" s="44" t="str">
        <f>MacroData!$E$7</f>
        <v/>
      </c>
      <c r="L3" s="44" t="str">
        <f>MacroData!$E$8</f>
        <v/>
      </c>
      <c r="M3" s="44" t="str">
        <f>MacroData!$E$9</f>
        <v/>
      </c>
    </row>
    <row r="4" spans="2:14" s="7" customFormat="1" ht="18.75" x14ac:dyDescent="0.3"/>
    <row r="5" spans="2:14" s="26" customFormat="1" x14ac:dyDescent="0.25"/>
    <row r="6" spans="2:14" s="26" customFormat="1" x14ac:dyDescent="0.25">
      <c r="B6" s="2" t="s">
        <v>141</v>
      </c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</row>
    <row r="7" spans="2:14" s="26" customFormat="1" x14ac:dyDescent="0.25">
      <c r="B7" s="10"/>
      <c r="D7" s="10"/>
      <c r="E7" s="10"/>
      <c r="F7" s="10"/>
      <c r="G7" s="10"/>
      <c r="H7" s="10" t="s">
        <v>275</v>
      </c>
      <c r="I7" s="10" t="s">
        <v>276</v>
      </c>
      <c r="J7" s="10"/>
      <c r="K7" s="10"/>
      <c r="L7" s="10"/>
      <c r="M7" s="10"/>
      <c r="N7" s="10"/>
    </row>
    <row r="8" spans="2:14" s="26" customFormat="1" x14ac:dyDescent="0.25">
      <c r="B8" s="10" t="s">
        <v>277</v>
      </c>
      <c r="D8" s="10" t="s">
        <v>282</v>
      </c>
      <c r="E8" s="10" t="s">
        <v>283</v>
      </c>
      <c r="F8" s="10" t="s">
        <v>140</v>
      </c>
      <c r="G8" s="10" t="s">
        <v>284</v>
      </c>
      <c r="H8" s="10" t="s">
        <v>278</v>
      </c>
      <c r="I8" s="10" t="s">
        <v>285</v>
      </c>
      <c r="J8" s="10" t="s">
        <v>140</v>
      </c>
      <c r="K8" s="10" t="s">
        <v>279</v>
      </c>
      <c r="L8" s="10" t="s">
        <v>286</v>
      </c>
      <c r="M8" s="10" t="s">
        <v>280</v>
      </c>
      <c r="N8" s="10" t="s">
        <v>281</v>
      </c>
    </row>
    <row r="9" spans="2:14" s="26" customFormat="1" x14ac:dyDescent="0.25"/>
    <row r="10" spans="2:14" s="26" customFormat="1" ht="15.75" x14ac:dyDescent="0.25">
      <c r="B10" s="41">
        <f>EOMONTH(YE0,1)</f>
        <v>44227</v>
      </c>
      <c r="D10" s="47"/>
      <c r="E10" s="47"/>
      <c r="F10" s="13">
        <f>SUM(D10:E10)</f>
        <v>0</v>
      </c>
      <c r="G10" s="47"/>
      <c r="H10" s="47"/>
      <c r="I10" s="47"/>
      <c r="J10" s="13">
        <f>SUM(G10:I10)</f>
        <v>0</v>
      </c>
      <c r="K10" s="47"/>
      <c r="L10" s="47"/>
      <c r="M10" s="47"/>
      <c r="N10" s="47"/>
    </row>
    <row r="11" spans="2:14" s="26" customFormat="1" ht="15.75" x14ac:dyDescent="0.25">
      <c r="B11" s="41">
        <f>EOMONTH(B10,1)</f>
        <v>44255</v>
      </c>
      <c r="D11" s="47"/>
      <c r="E11" s="47"/>
      <c r="F11" s="13">
        <f t="shared" ref="F11:F21" si="0">SUM(D11:E11)</f>
        <v>0</v>
      </c>
      <c r="G11" s="47"/>
      <c r="H11" s="47"/>
      <c r="I11" s="47"/>
      <c r="J11" s="13">
        <f t="shared" ref="J11:J21" si="1">SUM(G11:I11)</f>
        <v>0</v>
      </c>
      <c r="K11" s="47"/>
      <c r="L11" s="47"/>
      <c r="M11" s="47"/>
      <c r="N11" s="47"/>
    </row>
    <row r="12" spans="2:14" s="26" customFormat="1" ht="15.75" x14ac:dyDescent="0.25">
      <c r="B12" s="41">
        <f t="shared" ref="B12:B21" si="2">EOMONTH(B11,1)</f>
        <v>44286</v>
      </c>
      <c r="D12" s="47"/>
      <c r="E12" s="47"/>
      <c r="F12" s="13">
        <f t="shared" si="0"/>
        <v>0</v>
      </c>
      <c r="G12" s="47"/>
      <c r="H12" s="47"/>
      <c r="I12" s="47"/>
      <c r="J12" s="13">
        <f t="shared" si="1"/>
        <v>0</v>
      </c>
      <c r="K12" s="47"/>
      <c r="L12" s="47"/>
      <c r="M12" s="47"/>
      <c r="N12" s="47"/>
    </row>
    <row r="13" spans="2:14" s="26" customFormat="1" ht="15.75" x14ac:dyDescent="0.25">
      <c r="B13" s="41">
        <f t="shared" si="2"/>
        <v>44316</v>
      </c>
      <c r="D13" s="47"/>
      <c r="E13" s="47"/>
      <c r="F13" s="13">
        <f t="shared" si="0"/>
        <v>0</v>
      </c>
      <c r="G13" s="47"/>
      <c r="H13" s="47"/>
      <c r="I13" s="47"/>
      <c r="J13" s="13">
        <f t="shared" si="1"/>
        <v>0</v>
      </c>
      <c r="K13" s="47"/>
      <c r="L13" s="47"/>
      <c r="M13" s="47"/>
      <c r="N13" s="47"/>
    </row>
    <row r="14" spans="2:14" ht="15.75" x14ac:dyDescent="0.25">
      <c r="B14" s="41">
        <f t="shared" si="2"/>
        <v>44347</v>
      </c>
      <c r="D14" s="47"/>
      <c r="E14" s="47"/>
      <c r="F14" s="13">
        <f t="shared" si="0"/>
        <v>0</v>
      </c>
      <c r="G14" s="47"/>
      <c r="H14" s="47"/>
      <c r="I14" s="47"/>
      <c r="J14" s="13">
        <f t="shared" si="1"/>
        <v>0</v>
      </c>
      <c r="K14" s="47"/>
      <c r="L14" s="47"/>
      <c r="M14" s="47"/>
      <c r="N14" s="47"/>
    </row>
    <row r="15" spans="2:14" ht="15.75" x14ac:dyDescent="0.25">
      <c r="B15" s="41">
        <f t="shared" si="2"/>
        <v>44377</v>
      </c>
      <c r="D15" s="47"/>
      <c r="E15" s="47"/>
      <c r="F15" s="13">
        <f t="shared" si="0"/>
        <v>0</v>
      </c>
      <c r="G15" s="47"/>
      <c r="H15" s="47"/>
      <c r="I15" s="47"/>
      <c r="J15" s="13">
        <f t="shared" si="1"/>
        <v>0</v>
      </c>
      <c r="K15" s="47"/>
      <c r="L15" s="47"/>
      <c r="M15" s="47"/>
      <c r="N15" s="47"/>
    </row>
    <row r="16" spans="2:14" ht="15.75" x14ac:dyDescent="0.25">
      <c r="B16" s="41">
        <f t="shared" si="2"/>
        <v>44408</v>
      </c>
      <c r="D16" s="47"/>
      <c r="E16" s="47"/>
      <c r="F16" s="13">
        <f t="shared" si="0"/>
        <v>0</v>
      </c>
      <c r="G16" s="47"/>
      <c r="H16" s="47"/>
      <c r="I16" s="47"/>
      <c r="J16" s="13">
        <f t="shared" si="1"/>
        <v>0</v>
      </c>
      <c r="K16" s="47"/>
      <c r="L16" s="47"/>
      <c r="M16" s="47"/>
      <c r="N16" s="47"/>
    </row>
    <row r="17" spans="2:14" ht="15.75" x14ac:dyDescent="0.25">
      <c r="B17" s="41">
        <f t="shared" si="2"/>
        <v>44439</v>
      </c>
      <c r="D17" s="47"/>
      <c r="E17" s="47"/>
      <c r="F17" s="13">
        <f t="shared" si="0"/>
        <v>0</v>
      </c>
      <c r="G17" s="47"/>
      <c r="H17" s="47"/>
      <c r="I17" s="47"/>
      <c r="J17" s="13">
        <f t="shared" si="1"/>
        <v>0</v>
      </c>
      <c r="K17" s="47"/>
      <c r="L17" s="47"/>
      <c r="M17" s="47"/>
      <c r="N17" s="47"/>
    </row>
    <row r="18" spans="2:14" ht="15.75" x14ac:dyDescent="0.25">
      <c r="B18" s="41">
        <f t="shared" si="2"/>
        <v>44469</v>
      </c>
      <c r="D18" s="47"/>
      <c r="E18" s="47"/>
      <c r="F18" s="13">
        <f t="shared" si="0"/>
        <v>0</v>
      </c>
      <c r="G18" s="47"/>
      <c r="H18" s="47"/>
      <c r="I18" s="47"/>
      <c r="J18" s="13">
        <f t="shared" si="1"/>
        <v>0</v>
      </c>
      <c r="K18" s="47"/>
      <c r="L18" s="47"/>
      <c r="M18" s="47"/>
      <c r="N18" s="47"/>
    </row>
    <row r="19" spans="2:14" ht="15.75" x14ac:dyDescent="0.25">
      <c r="B19" s="41">
        <f t="shared" si="2"/>
        <v>44500</v>
      </c>
      <c r="D19" s="47"/>
      <c r="E19" s="47"/>
      <c r="F19" s="13">
        <f t="shared" si="0"/>
        <v>0</v>
      </c>
      <c r="G19" s="47"/>
      <c r="H19" s="47"/>
      <c r="I19" s="47"/>
      <c r="J19" s="13">
        <f t="shared" si="1"/>
        <v>0</v>
      </c>
      <c r="K19" s="47"/>
      <c r="L19" s="47"/>
      <c r="M19" s="47"/>
      <c r="N19" s="47"/>
    </row>
    <row r="20" spans="2:14" ht="15.75" x14ac:dyDescent="0.25">
      <c r="B20" s="41">
        <f t="shared" si="2"/>
        <v>44530</v>
      </c>
      <c r="D20" s="47"/>
      <c r="E20" s="47"/>
      <c r="F20" s="13">
        <f t="shared" si="0"/>
        <v>0</v>
      </c>
      <c r="G20" s="47"/>
      <c r="H20" s="47"/>
      <c r="I20" s="47"/>
      <c r="J20" s="13">
        <f t="shared" si="1"/>
        <v>0</v>
      </c>
      <c r="K20" s="47"/>
      <c r="L20" s="47"/>
      <c r="M20" s="47"/>
      <c r="N20" s="47"/>
    </row>
    <row r="21" spans="2:14" ht="15.75" x14ac:dyDescent="0.25">
      <c r="B21" s="41">
        <f t="shared" si="2"/>
        <v>44561</v>
      </c>
      <c r="D21" s="47"/>
      <c r="E21" s="47"/>
      <c r="F21" s="13">
        <f t="shared" si="0"/>
        <v>0</v>
      </c>
      <c r="G21" s="47"/>
      <c r="H21" s="47"/>
      <c r="I21" s="47"/>
      <c r="J21" s="13">
        <f t="shared" si="1"/>
        <v>0</v>
      </c>
      <c r="K21" s="47"/>
      <c r="L21" s="47"/>
      <c r="M21" s="47"/>
      <c r="N21" s="47"/>
    </row>
    <row r="23" spans="2:14" ht="15.75" x14ac:dyDescent="0.25">
      <c r="B23" s="2" t="s">
        <v>140</v>
      </c>
      <c r="D23" s="13">
        <f t="shared" ref="D23:N23" si="3">SUM(D10:D21)</f>
        <v>0</v>
      </c>
      <c r="E23" s="13">
        <f t="shared" si="3"/>
        <v>0</v>
      </c>
      <c r="F23" s="13">
        <f t="shared" si="3"/>
        <v>0</v>
      </c>
      <c r="G23" s="13">
        <f t="shared" si="3"/>
        <v>0</v>
      </c>
      <c r="H23" s="13">
        <f t="shared" si="3"/>
        <v>0</v>
      </c>
      <c r="I23" s="13">
        <f t="shared" si="3"/>
        <v>0</v>
      </c>
      <c r="J23" s="13">
        <f t="shared" si="3"/>
        <v>0</v>
      </c>
      <c r="K23" s="13">
        <f t="shared" si="3"/>
        <v>0</v>
      </c>
      <c r="L23" s="13">
        <f t="shared" si="3"/>
        <v>0</v>
      </c>
      <c r="M23" s="13">
        <f t="shared" si="3"/>
        <v>0</v>
      </c>
      <c r="N23" s="13">
        <f t="shared" si="3"/>
        <v>0</v>
      </c>
    </row>
  </sheetData>
  <sheetProtection algorithmName="SHA-512" hashValue="ZVjRlx5IrdAsAK2qzzoxwfKyUGd1JPnvRGLbXoqx4UUkzjnu3H02BJD1KnClGNv2s4vPzgh2dg3ZtFktU/WQaw==" saltValue="kdatj2ss0k/Ye5qY0VGFGA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19130-BDCD-4F9E-B80F-334CC0803718}">
  <sheetPr codeName="Sheet25">
    <tabColor theme="8" tint="0.39997558519241921"/>
  </sheetPr>
  <dimension ref="A1:O46"/>
  <sheetViews>
    <sheetView showGridLines="0" workbookViewId="0"/>
  </sheetViews>
  <sheetFormatPr defaultRowHeight="15" x14ac:dyDescent="0.25"/>
  <cols>
    <col min="1" max="1" width="3.7109375" customWidth="1"/>
    <col min="2" max="2" width="17.5703125" customWidth="1"/>
    <col min="3" max="3" width="5.7109375" customWidth="1"/>
    <col min="4" max="6" width="20.7109375" customWidth="1"/>
    <col min="7" max="7" width="5.7109375" style="26" customWidth="1"/>
    <col min="8" max="8" width="20.7109375" customWidth="1"/>
    <col min="9" max="9" width="5.7109375" style="26" customWidth="1"/>
    <col min="10" max="11" width="20.7109375" customWidth="1"/>
    <col min="12" max="12" width="3.7109375" customWidth="1"/>
    <col min="13" max="15" width="15.7109375" customWidth="1"/>
  </cols>
  <sheetData>
    <row r="1" spans="2:15" s="7" customFormat="1" ht="18.75" x14ac:dyDescent="0.3">
      <c r="B1" s="7" t="str">
        <f>Name</f>
        <v>Demo Company</v>
      </c>
      <c r="O1" s="43" t="s">
        <v>173</v>
      </c>
    </row>
    <row r="2" spans="2:15" s="7" customFormat="1" ht="18.75" x14ac:dyDescent="0.3">
      <c r="B2" s="7" t="str">
        <f>ReportName</f>
        <v>Management accounts for the period to 31 August 2021</v>
      </c>
      <c r="M2" s="7" t="str">
        <f>MacroData!$F$7</f>
        <v/>
      </c>
      <c r="N2" s="7" t="str">
        <f>MacroData!$F$8</f>
        <v/>
      </c>
      <c r="O2" s="7" t="str">
        <f>MacroData!$F$9</f>
        <v/>
      </c>
    </row>
    <row r="3" spans="2:15" s="7" customFormat="1" ht="18.75" x14ac:dyDescent="0.3">
      <c r="B3" s="7" t="s">
        <v>218</v>
      </c>
      <c r="M3" s="44" t="str">
        <f>MacroData!$E$7</f>
        <v/>
      </c>
      <c r="N3" s="44" t="str">
        <f>MacroData!$E$8</f>
        <v/>
      </c>
      <c r="O3" s="44" t="str">
        <f>MacroData!$E$9</f>
        <v/>
      </c>
    </row>
    <row r="4" spans="2:15" s="7" customFormat="1" ht="18.75" x14ac:dyDescent="0.3"/>
    <row r="5" spans="2:15" s="26" customFormat="1" x14ac:dyDescent="0.25"/>
    <row r="6" spans="2:15" s="26" customFormat="1" x14ac:dyDescent="0.25">
      <c r="D6" s="10" t="s">
        <v>287</v>
      </c>
      <c r="E6" s="10" t="s">
        <v>288</v>
      </c>
      <c r="F6" s="10" t="s">
        <v>289</v>
      </c>
      <c r="H6" s="10" t="s">
        <v>290</v>
      </c>
      <c r="J6" s="10" t="s">
        <v>291</v>
      </c>
      <c r="K6" s="10" t="s">
        <v>290</v>
      </c>
    </row>
    <row r="7" spans="2:15" s="26" customFormat="1" x14ac:dyDescent="0.25"/>
    <row r="8" spans="2:15" s="26" customFormat="1" ht="15.75" x14ac:dyDescent="0.25">
      <c r="B8" s="42">
        <f>YE0</f>
        <v>44196</v>
      </c>
      <c r="D8" s="45">
        <v>30000</v>
      </c>
      <c r="E8" s="45">
        <f>D8*0.2</f>
        <v>6000</v>
      </c>
      <c r="F8" s="45">
        <v>7000</v>
      </c>
      <c r="H8" s="45">
        <v>-1000</v>
      </c>
      <c r="J8" s="47">
        <v>-1000</v>
      </c>
      <c r="K8" s="13">
        <f>H8-J8</f>
        <v>0</v>
      </c>
    </row>
    <row r="9" spans="2:15" s="26" customFormat="1" x14ac:dyDescent="0.25"/>
    <row r="10" spans="2:15" s="26" customFormat="1" x14ac:dyDescent="0.25">
      <c r="B10" s="41">
        <f>EOMONTH(B8,1)</f>
        <v>44227</v>
      </c>
      <c r="D10" s="47">
        <v>4000</v>
      </c>
      <c r="E10" s="47">
        <v>800</v>
      </c>
      <c r="F10" s="47">
        <v>500</v>
      </c>
      <c r="H10" s="15">
        <f>E10-F10</f>
        <v>300</v>
      </c>
    </row>
    <row r="11" spans="2:15" s="26" customFormat="1" x14ac:dyDescent="0.25">
      <c r="B11" s="41">
        <f>EOMONTH(B10,1)</f>
        <v>44255</v>
      </c>
      <c r="D11" s="47">
        <v>5000</v>
      </c>
      <c r="E11" s="47">
        <v>1000</v>
      </c>
      <c r="F11" s="47">
        <v>900</v>
      </c>
      <c r="H11" s="15">
        <f t="shared" ref="H11:H12" si="0">E11-F11</f>
        <v>100</v>
      </c>
    </row>
    <row r="12" spans="2:15" s="26" customFormat="1" x14ac:dyDescent="0.25">
      <c r="B12" s="41">
        <f>EOMONTH(B11,1)</f>
        <v>44286</v>
      </c>
      <c r="D12" s="47">
        <v>1000</v>
      </c>
      <c r="E12" s="47">
        <v>200</v>
      </c>
      <c r="F12" s="47">
        <v>350</v>
      </c>
      <c r="H12" s="15">
        <f t="shared" si="0"/>
        <v>-150</v>
      </c>
    </row>
    <row r="14" spans="2:15" ht="15.75" x14ac:dyDescent="0.25">
      <c r="B14" s="10" t="s">
        <v>292</v>
      </c>
      <c r="D14" s="13">
        <f>SUBTOTAL(9,D10:D13)</f>
        <v>10000</v>
      </c>
      <c r="E14" s="13">
        <f t="shared" ref="E14:H14" si="1">SUBTOTAL(9,E10:E13)</f>
        <v>2000</v>
      </c>
      <c r="F14" s="13">
        <f t="shared" si="1"/>
        <v>1750</v>
      </c>
      <c r="H14" s="13">
        <f t="shared" si="1"/>
        <v>250</v>
      </c>
      <c r="J14" s="47">
        <v>250</v>
      </c>
      <c r="K14" s="13">
        <f>H14-J14</f>
        <v>0</v>
      </c>
    </row>
    <row r="16" spans="2:15" x14ac:dyDescent="0.25">
      <c r="B16" s="41">
        <f>EOMONTH(B12,1)</f>
        <v>44316</v>
      </c>
      <c r="D16" s="47">
        <v>8000</v>
      </c>
      <c r="E16" s="47">
        <v>1600</v>
      </c>
      <c r="F16" s="47">
        <v>400</v>
      </c>
      <c r="H16" s="15">
        <f>E16-F16</f>
        <v>1200</v>
      </c>
      <c r="K16" s="26"/>
    </row>
    <row r="17" spans="2:11" x14ac:dyDescent="0.25">
      <c r="B17" s="41">
        <f>EOMONTH(B16,1)</f>
        <v>44347</v>
      </c>
      <c r="D17" s="47">
        <v>4000</v>
      </c>
      <c r="E17" s="47">
        <v>800</v>
      </c>
      <c r="F17" s="47">
        <v>1000</v>
      </c>
      <c r="H17" s="15">
        <f t="shared" ref="H17:H18" si="2">E17-F17</f>
        <v>-200</v>
      </c>
      <c r="K17" s="26"/>
    </row>
    <row r="18" spans="2:11" x14ac:dyDescent="0.25">
      <c r="B18" s="41">
        <f>EOMONTH(B17,1)</f>
        <v>44377</v>
      </c>
      <c r="D18" s="47">
        <v>5000</v>
      </c>
      <c r="E18" s="47">
        <v>1000</v>
      </c>
      <c r="F18" s="47">
        <v>500</v>
      </c>
      <c r="H18" s="15">
        <f t="shared" si="2"/>
        <v>500</v>
      </c>
      <c r="K18" s="26"/>
    </row>
    <row r="19" spans="2:11" x14ac:dyDescent="0.25">
      <c r="K19" s="26"/>
    </row>
    <row r="20" spans="2:11" ht="15.75" x14ac:dyDescent="0.25">
      <c r="B20" s="10" t="s">
        <v>293</v>
      </c>
      <c r="D20" s="13">
        <f>SUBTOTAL(9,D16:D19)</f>
        <v>17000</v>
      </c>
      <c r="E20" s="13">
        <f t="shared" ref="E20" si="3">SUBTOTAL(9,E16:E19)</f>
        <v>3400</v>
      </c>
      <c r="F20" s="13">
        <f t="shared" ref="F20" si="4">SUBTOTAL(9,F16:F19)</f>
        <v>1900</v>
      </c>
      <c r="H20" s="13">
        <f t="shared" ref="H20" si="5">SUBTOTAL(9,H16:H19)</f>
        <v>1500</v>
      </c>
      <c r="J20" s="47">
        <v>1500</v>
      </c>
      <c r="K20" s="13">
        <f>H20-J20</f>
        <v>0</v>
      </c>
    </row>
    <row r="22" spans="2:11" x14ac:dyDescent="0.25">
      <c r="B22" s="41">
        <f>EOMONTH(B18,1)</f>
        <v>44408</v>
      </c>
      <c r="D22" s="47">
        <v>3000</v>
      </c>
      <c r="E22" s="47">
        <v>600</v>
      </c>
      <c r="F22" s="47">
        <v>800</v>
      </c>
      <c r="H22" s="15">
        <f>E22-F22</f>
        <v>-200</v>
      </c>
      <c r="K22" s="26"/>
    </row>
    <row r="23" spans="2:11" x14ac:dyDescent="0.25">
      <c r="B23" s="41">
        <f>EOMONTH(B22,1)</f>
        <v>44439</v>
      </c>
      <c r="D23" s="47">
        <v>2000</v>
      </c>
      <c r="E23" s="47">
        <v>400</v>
      </c>
      <c r="F23" s="47">
        <v>400</v>
      </c>
      <c r="H23" s="15">
        <f t="shared" ref="H23:H24" si="6">E23-F23</f>
        <v>0</v>
      </c>
      <c r="K23" s="26"/>
    </row>
    <row r="24" spans="2:11" x14ac:dyDescent="0.25">
      <c r="B24" s="41">
        <f>EOMONTH(B23,1)</f>
        <v>44469</v>
      </c>
      <c r="D24" s="47">
        <v>1500</v>
      </c>
      <c r="E24" s="47">
        <v>300</v>
      </c>
      <c r="F24" s="47">
        <v>300</v>
      </c>
      <c r="H24" s="15">
        <f t="shared" si="6"/>
        <v>0</v>
      </c>
      <c r="K24" s="26"/>
    </row>
    <row r="25" spans="2:11" x14ac:dyDescent="0.25">
      <c r="B25" s="26"/>
      <c r="K25" s="26"/>
    </row>
    <row r="26" spans="2:11" ht="15.75" x14ac:dyDescent="0.25">
      <c r="B26" s="10" t="s">
        <v>294</v>
      </c>
      <c r="D26" s="13">
        <f>SUBTOTAL(9,D22:D25)</f>
        <v>6500</v>
      </c>
      <c r="E26" s="13">
        <f t="shared" ref="E26" si="7">SUBTOTAL(9,E22:E25)</f>
        <v>1300</v>
      </c>
      <c r="F26" s="13">
        <f t="shared" ref="F26" si="8">SUBTOTAL(9,F22:F25)</f>
        <v>1500</v>
      </c>
      <c r="H26" s="13">
        <f t="shared" ref="H26" si="9">SUBTOTAL(9,H22:H25)</f>
        <v>-200</v>
      </c>
      <c r="J26" s="47">
        <v>-200</v>
      </c>
      <c r="K26" s="13">
        <f>H26-J26</f>
        <v>0</v>
      </c>
    </row>
    <row r="28" spans="2:11" x14ac:dyDescent="0.25">
      <c r="B28" s="41">
        <f>EOMONTH(B24,1)</f>
        <v>44500</v>
      </c>
      <c r="D28" s="47">
        <v>1087</v>
      </c>
      <c r="E28" s="47">
        <v>217.4</v>
      </c>
      <c r="F28" s="47">
        <v>500</v>
      </c>
      <c r="H28" s="15">
        <f>E28-F28</f>
        <v>-282.60000000000002</v>
      </c>
      <c r="K28" s="26"/>
    </row>
    <row r="29" spans="2:11" x14ac:dyDescent="0.25">
      <c r="B29" s="41">
        <f>EOMONTH(B28,1)</f>
        <v>44530</v>
      </c>
      <c r="D29" s="47">
        <v>500</v>
      </c>
      <c r="E29" s="47">
        <v>100</v>
      </c>
      <c r="F29" s="47">
        <v>700</v>
      </c>
      <c r="H29" s="15">
        <f t="shared" ref="H29:H30" si="10">E29-F29</f>
        <v>-600</v>
      </c>
      <c r="K29" s="26"/>
    </row>
    <row r="30" spans="2:11" x14ac:dyDescent="0.25">
      <c r="B30" s="41">
        <f>EOMONTH(B29,1)</f>
        <v>44561</v>
      </c>
      <c r="D30" s="47">
        <v>500</v>
      </c>
      <c r="E30" s="47">
        <v>100</v>
      </c>
      <c r="F30" s="47">
        <v>207.87</v>
      </c>
      <c r="H30" s="15">
        <f t="shared" si="10"/>
        <v>-107.87</v>
      </c>
      <c r="K30" s="26"/>
    </row>
    <row r="31" spans="2:11" x14ac:dyDescent="0.25">
      <c r="B31" s="26"/>
      <c r="K31" s="26"/>
    </row>
    <row r="32" spans="2:11" ht="15.75" x14ac:dyDescent="0.25">
      <c r="B32" s="10" t="s">
        <v>295</v>
      </c>
      <c r="D32" s="13">
        <f>SUBTOTAL(9,D28:D31)</f>
        <v>2087</v>
      </c>
      <c r="E32" s="13">
        <f t="shared" ref="E32" si="11">SUBTOTAL(9,E28:E31)</f>
        <v>417.4</v>
      </c>
      <c r="F32" s="13">
        <f t="shared" ref="F32" si="12">SUBTOTAL(9,F28:F31)</f>
        <v>1407.87</v>
      </c>
      <c r="H32" s="13">
        <f t="shared" ref="H32" si="13">SUBTOTAL(9,H28:H31)</f>
        <v>-990.47</v>
      </c>
      <c r="J32" s="47"/>
      <c r="K32" s="64">
        <f>H32-J32</f>
        <v>-990.47</v>
      </c>
    </row>
    <row r="34" spans="1:12" ht="15.75" x14ac:dyDescent="0.25">
      <c r="B34" s="10" t="s">
        <v>140</v>
      </c>
      <c r="D34" s="13">
        <f>_xlfn.AGGREGATE(9,3,D9:D33)</f>
        <v>35587</v>
      </c>
      <c r="E34" s="13">
        <f>_xlfn.AGGREGATE(9,3,E9:E33)</f>
        <v>7117.4</v>
      </c>
      <c r="F34" s="13">
        <f>_xlfn.AGGREGATE(9,3,F9:F33)</f>
        <v>6557.87</v>
      </c>
      <c r="H34" s="13">
        <f>_xlfn.AGGREGATE(9,3,H7:H33)</f>
        <v>-440.47</v>
      </c>
      <c r="J34" s="13">
        <f>_xlfn.AGGREGATE(9,3,J7:J33)</f>
        <v>550</v>
      </c>
      <c r="K34" s="13">
        <f>_xlfn.AGGREGATE(9,3,K7:K33)</f>
        <v>-990.47</v>
      </c>
    </row>
    <row r="36" spans="1:12" ht="18.75" x14ac:dyDescent="0.3">
      <c r="A36" s="12" t="s">
        <v>321</v>
      </c>
      <c r="G36" s="12" t="s">
        <v>325</v>
      </c>
    </row>
    <row r="37" spans="1:12" x14ac:dyDescent="0.25">
      <c r="B37" s="2" t="s">
        <v>82</v>
      </c>
      <c r="C37" s="47" t="s">
        <v>81</v>
      </c>
      <c r="D37" s="14">
        <f>-SUMIF(TB!$B:$B,'O1'!C37,TB!$G:$G)</f>
        <v>33886.92</v>
      </c>
      <c r="H37" s="30" t="s">
        <v>134</v>
      </c>
      <c r="I37" s="54" t="s">
        <v>133</v>
      </c>
      <c r="K37" s="14">
        <f>SUMIF(TB!$B:$B,'O1'!I37,TB!$G:$G)</f>
        <v>-990.47</v>
      </c>
    </row>
    <row r="38" spans="1:12" x14ac:dyDescent="0.25">
      <c r="B38" s="2" t="s">
        <v>322</v>
      </c>
      <c r="C38" s="47" t="s">
        <v>323</v>
      </c>
      <c r="D38" s="14">
        <f>-SUMIF(TB!$B:$B,'O1'!C38,TB!$G:$G)</f>
        <v>84921.279999999999</v>
      </c>
    </row>
    <row r="39" spans="1:12" ht="5.0999999999999996" customHeight="1" x14ac:dyDescent="0.25"/>
    <row r="40" spans="1:12" ht="15.75" x14ac:dyDescent="0.25">
      <c r="D40" s="13">
        <f>SUM(D37:D39)</f>
        <v>118808.2</v>
      </c>
      <c r="K40" s="13">
        <f>SUM(K37:K39)</f>
        <v>-990.47</v>
      </c>
    </row>
    <row r="41" spans="1:12" ht="5.0999999999999996" customHeight="1" x14ac:dyDescent="0.25"/>
    <row r="42" spans="1:12" s="26" customFormat="1" x14ac:dyDescent="0.25">
      <c r="B42" s="2" t="s">
        <v>326</v>
      </c>
      <c r="D42" s="47">
        <v>83221.2</v>
      </c>
      <c r="H42" s="2" t="s">
        <v>326</v>
      </c>
      <c r="K42" s="47">
        <v>0</v>
      </c>
    </row>
    <row r="43" spans="1:12" s="26" customFormat="1" x14ac:dyDescent="0.25">
      <c r="B43" s="2" t="s">
        <v>327</v>
      </c>
      <c r="D43" s="47">
        <v>0</v>
      </c>
      <c r="H43" s="2" t="s">
        <v>327</v>
      </c>
      <c r="K43" s="47">
        <v>0</v>
      </c>
    </row>
    <row r="44" spans="1:12" s="26" customFormat="1" ht="5.0999999999999996" customHeight="1" thickBot="1" x14ac:dyDescent="0.3"/>
    <row r="45" spans="1:12" ht="16.5" thickTop="1" thickBot="1" x14ac:dyDescent="0.3">
      <c r="A45" s="65"/>
      <c r="B45" s="10" t="s">
        <v>227</v>
      </c>
      <c r="C45" s="65"/>
      <c r="D45" s="69">
        <f>D34-D40+SUM(D42:D43)</f>
        <v>0</v>
      </c>
      <c r="E45" s="65"/>
      <c r="F45" s="65"/>
      <c r="G45" s="65"/>
      <c r="H45" s="65"/>
      <c r="I45" s="65"/>
      <c r="J45" s="65"/>
      <c r="K45" s="63">
        <f>K34-K40+SUM(K42:K43)</f>
        <v>0</v>
      </c>
      <c r="L45" s="65"/>
    </row>
    <row r="46" spans="1:12" ht="15.75" thickTop="1" x14ac:dyDescent="0.25"/>
  </sheetData>
  <sheetProtection algorithmName="SHA-512" hashValue="R9S3KNT8/YFspHJWWxlkoHJwUwawc3KV1Sag9oOJSUDY5ui+57zYTJeQhhpIVdKqki4hv4uatuUXP1zW/deu9g==" saltValue="aIbPUOT6QBpARkiyHQ/q6A==" spinCount="100000" sheet="1" objects="1" scenarios="1"/>
  <phoneticPr fontId="20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3E9C5-B05A-4BCD-9220-76469C3738DB}">
  <sheetPr codeName="Sheet26">
    <tabColor theme="8" tint="0.59999389629810485"/>
  </sheetPr>
  <dimension ref="A1:P38"/>
  <sheetViews>
    <sheetView showGridLines="0" workbookViewId="0"/>
  </sheetViews>
  <sheetFormatPr defaultRowHeight="15" outlineLevelCol="1" x14ac:dyDescent="0.25"/>
  <cols>
    <col min="1" max="1" width="3.7109375" customWidth="1"/>
    <col min="2" max="2" width="30" customWidth="1"/>
    <col min="3" max="3" width="5.7109375" customWidth="1"/>
    <col min="4" max="6" width="10.7109375" customWidth="1"/>
    <col min="7" max="7" width="5.7109375" customWidth="1"/>
    <col min="8" max="8" width="10.7109375" customWidth="1"/>
    <col min="9" max="9" width="5.5703125" customWidth="1" outlineLevel="1"/>
    <col min="10" max="10" width="20.140625" customWidth="1" outlineLevel="1"/>
    <col min="11" max="11" width="10.7109375" customWidth="1" outlineLevel="1"/>
    <col min="12" max="12" width="28.140625" customWidth="1" outlineLevel="1"/>
    <col min="13" max="13" width="10.7109375" customWidth="1"/>
    <col min="14" max="16" width="15.7109375" customWidth="1"/>
  </cols>
  <sheetData>
    <row r="1" spans="1:16" s="7" customFormat="1" ht="18.75" x14ac:dyDescent="0.3">
      <c r="B1" s="7" t="str">
        <f>Name</f>
        <v>Demo Company</v>
      </c>
      <c r="P1" s="43" t="s">
        <v>221</v>
      </c>
    </row>
    <row r="2" spans="1:16" s="7" customFormat="1" ht="18.75" x14ac:dyDescent="0.3">
      <c r="B2" s="7" t="str">
        <f>ReportName</f>
        <v>Management accounts for the period to 31 August 2021</v>
      </c>
      <c r="N2" s="7" t="str">
        <f>MacroData!$F$7</f>
        <v/>
      </c>
      <c r="O2" s="7" t="str">
        <f>MacroData!$F$8</f>
        <v/>
      </c>
      <c r="P2" s="7" t="str">
        <f>MacroData!$F$9</f>
        <v/>
      </c>
    </row>
    <row r="3" spans="1:16" s="7" customFormat="1" ht="18.75" x14ac:dyDescent="0.3">
      <c r="B3" s="7" t="s">
        <v>219</v>
      </c>
      <c r="N3" s="44" t="str">
        <f>MacroData!$E$7</f>
        <v/>
      </c>
      <c r="O3" s="44" t="str">
        <f>MacroData!$E$8</f>
        <v/>
      </c>
      <c r="P3" s="44" t="str">
        <f>MacroData!$E$9</f>
        <v/>
      </c>
    </row>
    <row r="4" spans="1:16" s="7" customFormat="1" ht="18.75" x14ac:dyDescent="0.3"/>
    <row r="5" spans="1:16" s="26" customFormat="1" x14ac:dyDescent="0.25"/>
    <row r="6" spans="1:16" s="26" customFormat="1" ht="18.75" x14ac:dyDescent="0.3">
      <c r="B6" s="12" t="s">
        <v>219</v>
      </c>
      <c r="I6" s="12" t="s">
        <v>319</v>
      </c>
    </row>
    <row r="7" spans="1:16" s="26" customFormat="1" x14ac:dyDescent="0.25">
      <c r="D7" s="10" t="s">
        <v>296</v>
      </c>
      <c r="E7" s="10" t="s">
        <v>297</v>
      </c>
      <c r="F7" s="10" t="s">
        <v>141</v>
      </c>
      <c r="H7" s="10" t="s">
        <v>298</v>
      </c>
      <c r="I7" s="10" t="s">
        <v>320</v>
      </c>
      <c r="J7" s="10" t="s">
        <v>299</v>
      </c>
      <c r="K7" s="10" t="s">
        <v>180</v>
      </c>
      <c r="L7" s="10" t="s">
        <v>300</v>
      </c>
    </row>
    <row r="8" spans="1:16" s="26" customFormat="1" ht="15" customHeight="1" x14ac:dyDescent="0.3">
      <c r="A8" s="7">
        <v>1</v>
      </c>
      <c r="B8" s="2" t="s">
        <v>124</v>
      </c>
      <c r="D8" s="61">
        <f>MAX(MacroData!$D42-MacroData!$C42,0)</f>
        <v>20.833333333333314</v>
      </c>
      <c r="E8" s="61">
        <f>-MIN(MacroData!$D42-MacroData!$C42,0)</f>
        <v>0</v>
      </c>
      <c r="F8" s="54" t="s">
        <v>316</v>
      </c>
      <c r="H8" s="11" t="s">
        <v>188</v>
      </c>
      <c r="I8" s="15">
        <f t="shared" ref="I8:I38" si="0">_xlfn.IFS(OR(LEN(B8)=0,AND(SUM(D8:E8)=0,LEN(B8)&gt;0,LEN(F8)&gt;0)),"",AND(SUM(D8:E8)&lt;&gt;0,LEN(B8)&gt;0),1,AND(SUM(D8:E8)=0,LEN(B8)&gt;0),2)</f>
        <v>1</v>
      </c>
      <c r="J8" s="15" t="str">
        <f>IF(I8=1,INDEX(B8:$B$57,MATCH(2,I8:$I$57,0)),"")</f>
        <v>Being depn charge</v>
      </c>
      <c r="K8" s="15" t="str">
        <f t="shared" ref="K8:K38" si="1">IF(I8=1,TEXT(ReportingMonth,"dd/mm/yyy"),"")</f>
        <v>31/08/2021</v>
      </c>
      <c r="L8" s="15" t="str">
        <f>IF(I8=1,"Being journals for "&amp;TEXT(K8,"mmmm yyyy"),"")</f>
        <v>Being journals for August 2021</v>
      </c>
    </row>
    <row r="9" spans="1:16" s="26" customFormat="1" x14ac:dyDescent="0.25">
      <c r="B9" s="2" t="s">
        <v>189</v>
      </c>
      <c r="D9" s="61">
        <f>MAX(MacroData!$D43-MacroData!$C43,0)</f>
        <v>575</v>
      </c>
      <c r="E9" s="61">
        <f>-MIN(MacroData!$D43-MacroData!$C43,0)</f>
        <v>0</v>
      </c>
      <c r="F9" s="54" t="s">
        <v>316</v>
      </c>
      <c r="H9" s="11" t="s">
        <v>188</v>
      </c>
      <c r="I9" s="15">
        <f t="shared" si="0"/>
        <v>1</v>
      </c>
      <c r="J9" s="15" t="str">
        <f>IF(I9=1,INDEX(B9:$B$57,MATCH(2,I9:$I$57,0)),"")</f>
        <v>Being depn charge</v>
      </c>
      <c r="K9" s="15" t="str">
        <f t="shared" si="1"/>
        <v>31/08/2021</v>
      </c>
      <c r="L9" s="15" t="str">
        <f t="shared" ref="L9:L16" si="2">IF(I9=1,"Being journals for "&amp;TEXT(K9,"mmmm yyyy"),"")</f>
        <v>Being journals for August 2021</v>
      </c>
    </row>
    <row r="10" spans="1:16" s="26" customFormat="1" x14ac:dyDescent="0.25">
      <c r="B10" s="2" t="s">
        <v>190</v>
      </c>
      <c r="D10" s="61">
        <f>MAX(MacroData!$D44-MacroData!$C44,0)</f>
        <v>14.583333333333343</v>
      </c>
      <c r="E10" s="61">
        <f>-MIN(MacroData!$D44-MacroData!$C44,0)</f>
        <v>0</v>
      </c>
      <c r="F10" s="54" t="s">
        <v>316</v>
      </c>
      <c r="H10" s="11" t="s">
        <v>188</v>
      </c>
      <c r="I10" s="15">
        <f t="shared" si="0"/>
        <v>1</v>
      </c>
      <c r="J10" s="15" t="str">
        <f>IF(I10=1,INDEX(B10:$B$57,MATCH(2,I10:$I$57,0)),"")</f>
        <v>Being depn charge</v>
      </c>
      <c r="K10" s="15" t="str">
        <f t="shared" si="1"/>
        <v>31/08/2021</v>
      </c>
      <c r="L10" s="15" t="str">
        <f t="shared" si="2"/>
        <v>Being journals for August 2021</v>
      </c>
    </row>
    <row r="11" spans="1:16" s="26" customFormat="1" x14ac:dyDescent="0.25">
      <c r="B11" s="2" t="s">
        <v>127</v>
      </c>
      <c r="D11" s="61">
        <f>MAX(MacroData!$D45-MacroData!$C45,0)</f>
        <v>77.083333333333371</v>
      </c>
      <c r="E11" s="61">
        <f>-MIN(MacroData!$D45-MacroData!$C45,0)</f>
        <v>0</v>
      </c>
      <c r="F11" s="54" t="s">
        <v>316</v>
      </c>
      <c r="H11" s="11" t="s">
        <v>188</v>
      </c>
      <c r="I11" s="15">
        <f t="shared" si="0"/>
        <v>1</v>
      </c>
      <c r="J11" s="15" t="str">
        <f>IF(I11=1,INDEX(B11:$B$57,MATCH(2,I11:$I$57,0)),"")</f>
        <v>Being depn charge</v>
      </c>
      <c r="K11" s="15" t="str">
        <f t="shared" si="1"/>
        <v>31/08/2021</v>
      </c>
      <c r="L11" s="15" t="str">
        <f t="shared" si="2"/>
        <v>Being journals for August 2021</v>
      </c>
    </row>
    <row r="12" spans="1:16" x14ac:dyDescent="0.25">
      <c r="B12" s="2" t="s">
        <v>301</v>
      </c>
      <c r="D12" s="61">
        <f>E8</f>
        <v>0</v>
      </c>
      <c r="E12" s="61">
        <f>D8</f>
        <v>20.833333333333314</v>
      </c>
      <c r="F12" s="47" t="s">
        <v>307</v>
      </c>
      <c r="H12" s="11" t="s">
        <v>188</v>
      </c>
      <c r="I12" s="15">
        <f t="shared" si="0"/>
        <v>1</v>
      </c>
      <c r="J12" s="15" t="str">
        <f>IF(I12=1,INDEX(B12:$B$57,MATCH(2,I12:$I$57,0)),"")</f>
        <v>Being depn charge</v>
      </c>
      <c r="K12" s="15" t="str">
        <f t="shared" si="1"/>
        <v>31/08/2021</v>
      </c>
      <c r="L12" s="15" t="str">
        <f t="shared" si="2"/>
        <v>Being journals for August 2021</v>
      </c>
    </row>
    <row r="13" spans="1:16" x14ac:dyDescent="0.25">
      <c r="B13" s="2" t="s">
        <v>302</v>
      </c>
      <c r="D13" s="61">
        <f t="shared" ref="D13:D15" si="3">E9</f>
        <v>0</v>
      </c>
      <c r="E13" s="61">
        <f t="shared" ref="E13:E15" si="4">D9</f>
        <v>575</v>
      </c>
      <c r="F13" s="47" t="s">
        <v>309</v>
      </c>
      <c r="H13" s="11" t="s">
        <v>188</v>
      </c>
      <c r="I13" s="15">
        <f t="shared" si="0"/>
        <v>1</v>
      </c>
      <c r="J13" s="15" t="str">
        <f>IF(I13=1,INDEX(B13:$B$57,MATCH(2,I13:$I$57,0)),"")</f>
        <v>Being depn charge</v>
      </c>
      <c r="K13" s="15" t="str">
        <f t="shared" si="1"/>
        <v>31/08/2021</v>
      </c>
      <c r="L13" s="15" t="str">
        <f t="shared" si="2"/>
        <v>Being journals for August 2021</v>
      </c>
    </row>
    <row r="14" spans="1:16" x14ac:dyDescent="0.25">
      <c r="B14" s="2" t="s">
        <v>303</v>
      </c>
      <c r="D14" s="61">
        <f t="shared" si="3"/>
        <v>0</v>
      </c>
      <c r="E14" s="61">
        <f t="shared" si="4"/>
        <v>14.583333333333343</v>
      </c>
      <c r="F14" s="47" t="s">
        <v>310</v>
      </c>
      <c r="H14" s="11" t="s">
        <v>188</v>
      </c>
      <c r="I14" s="15">
        <f t="shared" si="0"/>
        <v>1</v>
      </c>
      <c r="J14" s="15" t="str">
        <f>IF(I14=1,INDEX(B14:$B$57,MATCH(2,I14:$I$57,0)),"")</f>
        <v>Being depn charge</v>
      </c>
      <c r="K14" s="15" t="str">
        <f t="shared" si="1"/>
        <v>31/08/2021</v>
      </c>
      <c r="L14" s="15" t="str">
        <f t="shared" si="2"/>
        <v>Being journals for August 2021</v>
      </c>
    </row>
    <row r="15" spans="1:16" x14ac:dyDescent="0.25">
      <c r="B15" s="2" t="s">
        <v>304</v>
      </c>
      <c r="D15" s="61">
        <f t="shared" si="3"/>
        <v>0</v>
      </c>
      <c r="E15" s="61">
        <f t="shared" si="4"/>
        <v>77.083333333333371</v>
      </c>
      <c r="F15" s="47" t="s">
        <v>308</v>
      </c>
      <c r="H15" s="11" t="s">
        <v>188</v>
      </c>
      <c r="I15" s="15">
        <f t="shared" si="0"/>
        <v>1</v>
      </c>
      <c r="J15" s="15" t="str">
        <f>IF(I15=1,INDEX(B15:$B$57,MATCH(2,I15:$I$57,0)),"")</f>
        <v>Being depn charge</v>
      </c>
      <c r="K15" s="15" t="str">
        <f t="shared" si="1"/>
        <v>31/08/2021</v>
      </c>
      <c r="L15" s="15" t="str">
        <f t="shared" si="2"/>
        <v>Being journals for August 2021</v>
      </c>
    </row>
    <row r="16" spans="1:16" ht="15.75" x14ac:dyDescent="0.25">
      <c r="D16" s="13">
        <f>SUM(D8:D15)</f>
        <v>687.5</v>
      </c>
      <c r="E16" s="13">
        <f>SUM(E8:E15)</f>
        <v>687.5</v>
      </c>
      <c r="I16" s="15" t="str">
        <f t="shared" si="0"/>
        <v/>
      </c>
      <c r="J16" s="15" t="str">
        <f>IF(I16=1,INDEX(B16:$B$57,MATCH(2,I16:$I$57,0)),"")</f>
        <v/>
      </c>
      <c r="K16" s="15" t="str">
        <f t="shared" si="1"/>
        <v/>
      </c>
      <c r="L16" s="15" t="str">
        <f t="shared" si="2"/>
        <v/>
      </c>
    </row>
    <row r="17" spans="1:12" x14ac:dyDescent="0.25">
      <c r="B17" s="9" t="s">
        <v>317</v>
      </c>
      <c r="I17" s="15">
        <f t="shared" si="0"/>
        <v>2</v>
      </c>
      <c r="J17" s="15" t="str">
        <f>IF(I17=1,INDEX(B17:$B$57,MATCH(2,I17:$I$57,0)),"")</f>
        <v/>
      </c>
      <c r="K17" s="15" t="str">
        <f t="shared" si="1"/>
        <v/>
      </c>
      <c r="L17" s="15" t="str">
        <f t="shared" ref="L17:L38" si="5">IF(I17=1,"Being journals for "&amp;TEXT(K17,"mmmm yyyy"),"")</f>
        <v/>
      </c>
    </row>
    <row r="18" spans="1:12" x14ac:dyDescent="0.25">
      <c r="I18" s="15" t="str">
        <f t="shared" si="0"/>
        <v/>
      </c>
      <c r="J18" s="15" t="str">
        <f>IF(I18=1,INDEX(B18:$B$57,MATCH(2,I18:$I$57,0)),"")</f>
        <v/>
      </c>
      <c r="K18" s="15" t="str">
        <f t="shared" si="1"/>
        <v/>
      </c>
      <c r="L18" s="15" t="str">
        <f t="shared" si="5"/>
        <v/>
      </c>
    </row>
    <row r="19" spans="1:12" ht="15" customHeight="1" x14ac:dyDescent="0.3">
      <c r="A19" s="7">
        <v>2</v>
      </c>
      <c r="B19" s="2" t="s">
        <v>101</v>
      </c>
      <c r="D19" s="15">
        <f>MAX(SUMIF('H3'!$M:$M,$F19,'H3'!$P:$P),0)</f>
        <v>20.833333333333343</v>
      </c>
      <c r="E19" s="15">
        <f>-MIN(SUMIF('H3'!$M:$M,$F19,'H3'!$P:$P),0)</f>
        <v>0</v>
      </c>
      <c r="F19" s="47" t="s">
        <v>100</v>
      </c>
      <c r="H19" s="11" t="s">
        <v>165</v>
      </c>
      <c r="I19" s="15">
        <f t="shared" si="0"/>
        <v>1</v>
      </c>
      <c r="J19" s="15" t="str">
        <f>IF(I19=1,INDEX(B19:$B$57,MATCH(2,I19:$I$57,0)),"")</f>
        <v>Being prepayments</v>
      </c>
      <c r="K19" s="15" t="str">
        <f t="shared" si="1"/>
        <v>31/08/2021</v>
      </c>
      <c r="L19" s="15" t="str">
        <f t="shared" si="5"/>
        <v>Being journals for August 2021</v>
      </c>
    </row>
    <row r="20" spans="1:12" x14ac:dyDescent="0.25">
      <c r="B20" s="2" t="s">
        <v>103</v>
      </c>
      <c r="D20" s="15">
        <f>MAX(SUMIF('H3'!$M:$M,$F20,'H3'!$P:$P),0)</f>
        <v>0</v>
      </c>
      <c r="E20" s="15">
        <f>-MIN(SUMIF('H3'!$M:$M,$F20,'H3'!$P:$P),0)</f>
        <v>718.5</v>
      </c>
      <c r="F20" s="47" t="s">
        <v>102</v>
      </c>
      <c r="H20" s="11" t="s">
        <v>165</v>
      </c>
      <c r="I20" s="15">
        <f t="shared" si="0"/>
        <v>1</v>
      </c>
      <c r="J20" s="15" t="str">
        <f>IF(I20=1,INDEX(B20:$B$57,MATCH(2,I20:$I$57,0)),"")</f>
        <v>Being prepayments</v>
      </c>
      <c r="K20" s="15" t="str">
        <f t="shared" si="1"/>
        <v>31/08/2021</v>
      </c>
      <c r="L20" s="15" t="str">
        <f t="shared" si="5"/>
        <v>Being journals for August 2021</v>
      </c>
    </row>
    <row r="21" spans="1:12" x14ac:dyDescent="0.25">
      <c r="B21" s="2" t="s">
        <v>105</v>
      </c>
      <c r="D21" s="15">
        <f>MAX(SUMIF('H3'!$M:$M,$F21,'H3'!$P:$P),0)</f>
        <v>116.66666666666667</v>
      </c>
      <c r="E21" s="15">
        <f>-MIN(SUMIF('H3'!$M:$M,$F21,'H3'!$P:$P),0)</f>
        <v>0</v>
      </c>
      <c r="F21" s="47" t="s">
        <v>104</v>
      </c>
      <c r="H21" s="11" t="s">
        <v>165</v>
      </c>
      <c r="I21" s="15">
        <f t="shared" si="0"/>
        <v>1</v>
      </c>
      <c r="J21" s="15" t="str">
        <f>IF(I21=1,INDEX(B21:$B$57,MATCH(2,I21:$I$57,0)),"")</f>
        <v>Being prepayments</v>
      </c>
      <c r="K21" s="15" t="str">
        <f t="shared" si="1"/>
        <v>31/08/2021</v>
      </c>
      <c r="L21" s="15" t="str">
        <f t="shared" si="5"/>
        <v>Being journals for August 2021</v>
      </c>
    </row>
    <row r="22" spans="1:12" x14ac:dyDescent="0.25">
      <c r="B22" s="2" t="s">
        <v>109</v>
      </c>
      <c r="D22" s="15">
        <f>MAX(SUMIF('H3'!$M:$M,$F22,'H3'!$P:$P),0)</f>
        <v>10</v>
      </c>
      <c r="E22" s="15">
        <f>-MIN(SUMIF('H3'!$M:$M,$F22,'H3'!$P:$P),0)</f>
        <v>0</v>
      </c>
      <c r="F22" s="47" t="s">
        <v>108</v>
      </c>
      <c r="H22" s="11" t="s">
        <v>165</v>
      </c>
      <c r="I22" s="15">
        <f t="shared" si="0"/>
        <v>1</v>
      </c>
      <c r="J22" s="15" t="str">
        <f>IF(I22=1,INDEX(B22:$B$57,MATCH(2,I22:$I$57,0)),"")</f>
        <v>Being prepayments</v>
      </c>
      <c r="K22" s="15" t="str">
        <f t="shared" si="1"/>
        <v>31/08/2021</v>
      </c>
      <c r="L22" s="15" t="str">
        <f t="shared" si="5"/>
        <v>Being journals for August 2021</v>
      </c>
    </row>
    <row r="23" spans="1:12" x14ac:dyDescent="0.25">
      <c r="B23" s="2" t="s">
        <v>111</v>
      </c>
      <c r="D23" s="15">
        <f>MAX(SUMIF('H3'!$M:$M,$F23,'H3'!$P:$P),0)</f>
        <v>458</v>
      </c>
      <c r="E23" s="15">
        <f>-MIN(SUMIF('H3'!$M:$M,$F23,'H3'!$P:$P),0)</f>
        <v>0</v>
      </c>
      <c r="F23" s="47" t="s">
        <v>110</v>
      </c>
      <c r="H23" s="11" t="s">
        <v>165</v>
      </c>
      <c r="I23" s="15">
        <f t="shared" si="0"/>
        <v>1</v>
      </c>
      <c r="J23" s="15" t="str">
        <f>IF(I23=1,INDEX(B23:$B$57,MATCH(2,I23:$I$57,0)),"")</f>
        <v>Being prepayments</v>
      </c>
      <c r="K23" s="15" t="str">
        <f t="shared" si="1"/>
        <v>31/08/2021</v>
      </c>
      <c r="L23" s="15" t="str">
        <f t="shared" si="5"/>
        <v>Being journals for August 2021</v>
      </c>
    </row>
    <row r="24" spans="1:12" x14ac:dyDescent="0.25">
      <c r="B24" s="2" t="s">
        <v>113</v>
      </c>
      <c r="D24" s="15">
        <f>MAX(SUMIF('H3'!$M:$M,$F24,'H3'!$P:$P),0)</f>
        <v>0</v>
      </c>
      <c r="E24" s="15">
        <f>-MIN(SUMIF('H3'!$M:$M,$F24,'H3'!$P:$P),0)</f>
        <v>0</v>
      </c>
      <c r="F24" s="47" t="s">
        <v>112</v>
      </c>
      <c r="H24" s="11" t="s">
        <v>165</v>
      </c>
      <c r="I24" s="15" t="str">
        <f t="shared" si="0"/>
        <v/>
      </c>
      <c r="J24" s="15" t="str">
        <f>IF(I24=1,INDEX(B24:$B$57,MATCH(2,I24:$I$57,0)),"")</f>
        <v/>
      </c>
      <c r="K24" s="15" t="str">
        <f t="shared" si="1"/>
        <v/>
      </c>
      <c r="L24" s="15" t="str">
        <f t="shared" si="5"/>
        <v/>
      </c>
    </row>
    <row r="25" spans="1:12" s="26" customFormat="1" x14ac:dyDescent="0.25">
      <c r="B25" s="2" t="s">
        <v>207</v>
      </c>
      <c r="D25" s="15">
        <f>-MIN(SUMIF('H3'!$M:$M,$F25,'H3'!$P:$P),0)</f>
        <v>113</v>
      </c>
      <c r="E25" s="15">
        <f>MAX(SUMIF('H3'!$M:$M,$F25,'H3'!$P:$P),0)</f>
        <v>0</v>
      </c>
      <c r="F25" s="54" t="s">
        <v>209</v>
      </c>
      <c r="H25" s="11" t="s">
        <v>165</v>
      </c>
      <c r="I25" s="15">
        <f t="shared" si="0"/>
        <v>1</v>
      </c>
      <c r="J25" s="15" t="str">
        <f>IF(I25=1,INDEX(B25:$B$57,MATCH(2,I25:$I$57,0)),"")</f>
        <v>Being prepayments</v>
      </c>
      <c r="K25" s="15" t="str">
        <f t="shared" si="1"/>
        <v>31/08/2021</v>
      </c>
      <c r="L25" s="15" t="str">
        <f t="shared" si="5"/>
        <v>Being journals for August 2021</v>
      </c>
    </row>
    <row r="26" spans="1:12" ht="15.75" x14ac:dyDescent="0.25">
      <c r="D26" s="13">
        <f>SUM(D19:D25)</f>
        <v>718.5</v>
      </c>
      <c r="E26" s="13">
        <f>SUM(E19:E25)</f>
        <v>718.5</v>
      </c>
      <c r="I26" s="15" t="str">
        <f t="shared" si="0"/>
        <v/>
      </c>
      <c r="J26" s="15" t="str">
        <f>IF(I26=1,INDEX(B26:$B$57,MATCH(2,I26:$I$57,0)),"")</f>
        <v/>
      </c>
      <c r="K26" s="15" t="str">
        <f t="shared" si="1"/>
        <v/>
      </c>
      <c r="L26" s="15" t="str">
        <f t="shared" si="5"/>
        <v/>
      </c>
    </row>
    <row r="27" spans="1:12" x14ac:dyDescent="0.25">
      <c r="B27" s="9" t="s">
        <v>318</v>
      </c>
      <c r="I27" s="15">
        <f t="shared" si="0"/>
        <v>2</v>
      </c>
      <c r="J27" s="15" t="str">
        <f>IF(I27=1,INDEX(B27:$B$57,MATCH(2,I27:$I$57,0)),"")</f>
        <v/>
      </c>
      <c r="K27" s="15" t="str">
        <f t="shared" si="1"/>
        <v/>
      </c>
      <c r="L27" s="15" t="str">
        <f t="shared" si="5"/>
        <v/>
      </c>
    </row>
    <row r="28" spans="1:12" x14ac:dyDescent="0.25">
      <c r="I28" s="15" t="str">
        <f t="shared" si="0"/>
        <v/>
      </c>
      <c r="J28" s="15" t="str">
        <f>IF(I28=1,INDEX(B28:$B$57,MATCH(2,I28:$I$57,0)),"")</f>
        <v/>
      </c>
      <c r="K28" s="15" t="str">
        <f t="shared" si="1"/>
        <v/>
      </c>
      <c r="L28" s="15" t="str">
        <f t="shared" si="5"/>
        <v/>
      </c>
    </row>
    <row r="29" spans="1:12" ht="15" customHeight="1" x14ac:dyDescent="0.3">
      <c r="A29" s="7">
        <v>3</v>
      </c>
      <c r="B29" s="2" t="s">
        <v>101</v>
      </c>
      <c r="D29" s="15">
        <f>MAX(SUMIF('J3'!$M:$M,$F29,'J3'!$P:$P),0)</f>
        <v>60</v>
      </c>
      <c r="E29" s="15">
        <f>-MIN(SUMIF('J3'!$M:$M,$F29,'J3'!$P:$P),0)</f>
        <v>0</v>
      </c>
      <c r="F29" s="47" t="s">
        <v>100</v>
      </c>
      <c r="H29" s="11" t="s">
        <v>170</v>
      </c>
      <c r="I29" s="15">
        <f t="shared" si="0"/>
        <v>1</v>
      </c>
      <c r="J29" s="15" t="str">
        <f>IF(I29=1,INDEX(B29:$B$57,MATCH(2,I29:$I$57,0)),"")</f>
        <v>Being accruals</v>
      </c>
      <c r="K29" s="15" t="str">
        <f t="shared" si="1"/>
        <v>31/08/2021</v>
      </c>
      <c r="L29" s="15" t="str">
        <f t="shared" si="5"/>
        <v>Being journals for August 2021</v>
      </c>
    </row>
    <row r="30" spans="1:12" x14ac:dyDescent="0.25">
      <c r="B30" s="2" t="s">
        <v>103</v>
      </c>
      <c r="D30" s="15">
        <f>MAX(SUMIF('J3'!$M:$M,$F30,'J3'!$P:$P),0)</f>
        <v>150</v>
      </c>
      <c r="E30" s="15">
        <f>-MIN(SUMIF('J3'!$M:$M,$F30,'J3'!$P:$P),0)</f>
        <v>0</v>
      </c>
      <c r="F30" s="47" t="s">
        <v>102</v>
      </c>
      <c r="H30" s="11" t="s">
        <v>170</v>
      </c>
      <c r="I30" s="15">
        <f t="shared" si="0"/>
        <v>1</v>
      </c>
      <c r="J30" s="15" t="str">
        <f>IF(I30=1,INDEX(B30:$B$57,MATCH(2,I30:$I$57,0)),"")</f>
        <v>Being accruals</v>
      </c>
      <c r="K30" s="15" t="str">
        <f t="shared" si="1"/>
        <v>31/08/2021</v>
      </c>
      <c r="L30" s="15" t="str">
        <f t="shared" si="5"/>
        <v>Being journals for August 2021</v>
      </c>
    </row>
    <row r="31" spans="1:12" x14ac:dyDescent="0.25">
      <c r="B31" s="2" t="s">
        <v>105</v>
      </c>
      <c r="D31" s="15">
        <f>MAX(SUMIF('J3'!$M:$M,$F31,'J3'!$P:$P),0)</f>
        <v>60</v>
      </c>
      <c r="E31" s="15">
        <f>-MIN(SUMIF('J3'!$M:$M,$F31,'J3'!$P:$P),0)</f>
        <v>0</v>
      </c>
      <c r="F31" s="47" t="s">
        <v>104</v>
      </c>
      <c r="H31" s="11" t="s">
        <v>170</v>
      </c>
      <c r="I31" s="15">
        <f t="shared" si="0"/>
        <v>1</v>
      </c>
      <c r="J31" s="15" t="str">
        <f>IF(I31=1,INDEX(B31:$B$57,MATCH(2,I31:$I$57,0)),"")</f>
        <v>Being accruals</v>
      </c>
      <c r="K31" s="15" t="str">
        <f t="shared" si="1"/>
        <v>31/08/2021</v>
      </c>
      <c r="L31" s="15" t="str">
        <f t="shared" si="5"/>
        <v>Being journals for August 2021</v>
      </c>
    </row>
    <row r="32" spans="1:12" x14ac:dyDescent="0.25">
      <c r="B32" s="2" t="s">
        <v>109</v>
      </c>
      <c r="D32" s="15">
        <f>MAX(SUMIF('J3'!$M:$M,$F32,'J3'!$P:$P),0)</f>
        <v>20</v>
      </c>
      <c r="E32" s="15">
        <f>-MIN(SUMIF('J3'!$M:$M,$F32,'J3'!$P:$P),0)</f>
        <v>0</v>
      </c>
      <c r="F32" s="47" t="s">
        <v>108</v>
      </c>
      <c r="H32" s="11" t="s">
        <v>170</v>
      </c>
      <c r="I32" s="15">
        <f t="shared" si="0"/>
        <v>1</v>
      </c>
      <c r="J32" s="15" t="str">
        <f>IF(I32=1,INDEX(B32:$B$57,MATCH(2,I32:$I$57,0)),"")</f>
        <v>Being accruals</v>
      </c>
      <c r="K32" s="15" t="str">
        <f t="shared" si="1"/>
        <v>31/08/2021</v>
      </c>
      <c r="L32" s="15" t="str">
        <f t="shared" si="5"/>
        <v>Being journals for August 2021</v>
      </c>
    </row>
    <row r="33" spans="2:12" x14ac:dyDescent="0.25">
      <c r="B33" s="2" t="s">
        <v>111</v>
      </c>
      <c r="D33" s="15">
        <f>MAX(SUMIF('J3'!$M:$M,$F33,'J3'!$P:$P),0)</f>
        <v>0</v>
      </c>
      <c r="E33" s="15">
        <f>-MIN(SUMIF('J3'!$M:$M,$F33,'J3'!$P:$P),0)</f>
        <v>370</v>
      </c>
      <c r="F33" s="47" t="s">
        <v>110</v>
      </c>
      <c r="H33" s="11" t="s">
        <v>170</v>
      </c>
      <c r="I33" s="15">
        <f t="shared" si="0"/>
        <v>1</v>
      </c>
      <c r="J33" s="15" t="str">
        <f>IF(I33=1,INDEX(B33:$B$57,MATCH(2,I33:$I$57,0)),"")</f>
        <v>Being accruals</v>
      </c>
      <c r="K33" s="15" t="str">
        <f t="shared" si="1"/>
        <v>31/08/2021</v>
      </c>
      <c r="L33" s="15" t="str">
        <f t="shared" si="5"/>
        <v>Being journals for August 2021</v>
      </c>
    </row>
    <row r="34" spans="2:12" x14ac:dyDescent="0.25">
      <c r="B34" s="2" t="s">
        <v>113</v>
      </c>
      <c r="D34" s="15">
        <f>MAX(SUMIF('J3'!$M:$M,$F34,'J3'!$P:$P),0)</f>
        <v>70</v>
      </c>
      <c r="E34" s="15">
        <f>-MIN(SUMIF('J3'!$M:$M,$F34,'J3'!$P:$P),0)</f>
        <v>0</v>
      </c>
      <c r="F34" s="47" t="s">
        <v>112</v>
      </c>
      <c r="H34" s="11" t="s">
        <v>170</v>
      </c>
      <c r="I34" s="15">
        <f t="shared" si="0"/>
        <v>1</v>
      </c>
      <c r="J34" s="15" t="str">
        <f>IF(I34=1,INDEX(B34:$B$57,MATCH(2,I34:$I$57,0)),"")</f>
        <v>Being accruals</v>
      </c>
      <c r="K34" s="15" t="str">
        <f t="shared" si="1"/>
        <v>31/08/2021</v>
      </c>
      <c r="L34" s="15" t="str">
        <f t="shared" si="5"/>
        <v>Being journals for August 2021</v>
      </c>
    </row>
    <row r="35" spans="2:12" x14ac:dyDescent="0.25">
      <c r="B35" s="2" t="s">
        <v>211</v>
      </c>
      <c r="D35" s="15">
        <f>-MIN(SUMIF('J3'!$M:$M,$F35,'J3'!$P:$P),0)</f>
        <v>10</v>
      </c>
      <c r="E35" s="15">
        <f>MAX(SUMIF('J3'!$M:$M,$F35,'J3'!$P:$P),0)</f>
        <v>0</v>
      </c>
      <c r="F35" s="54" t="s">
        <v>210</v>
      </c>
      <c r="H35" s="11" t="s">
        <v>170</v>
      </c>
      <c r="I35" s="15">
        <f t="shared" si="0"/>
        <v>1</v>
      </c>
      <c r="J35" s="15" t="str">
        <f>IF(I35=1,INDEX(B35:$B$57,MATCH(2,I35:$I$57,0)),"")</f>
        <v>Being accruals</v>
      </c>
      <c r="K35" s="15" t="str">
        <f t="shared" si="1"/>
        <v>31/08/2021</v>
      </c>
      <c r="L35" s="15" t="str">
        <f t="shared" si="5"/>
        <v>Being journals for August 2021</v>
      </c>
    </row>
    <row r="36" spans="2:12" ht="15.75" x14ac:dyDescent="0.25">
      <c r="D36" s="13">
        <f>SUM(D29:D35)</f>
        <v>370</v>
      </c>
      <c r="E36" s="13">
        <f>SUM(E29:E35)</f>
        <v>370</v>
      </c>
      <c r="I36" s="15" t="str">
        <f t="shared" si="0"/>
        <v/>
      </c>
      <c r="J36" s="15" t="str">
        <f>IF(I36=1,INDEX(B36:$B$57,MATCH(2,I36:$I$57,0)),"")</f>
        <v/>
      </c>
      <c r="K36" s="15" t="str">
        <f t="shared" si="1"/>
        <v/>
      </c>
      <c r="L36" s="15" t="str">
        <f t="shared" si="5"/>
        <v/>
      </c>
    </row>
    <row r="37" spans="2:12" x14ac:dyDescent="0.25">
      <c r="B37" s="9" t="s">
        <v>328</v>
      </c>
      <c r="I37" s="15">
        <f t="shared" si="0"/>
        <v>2</v>
      </c>
      <c r="J37" s="15" t="str">
        <f>IF(I37=1,INDEX(B37:$B$57,MATCH(2,I37:$I$57,0)),"")</f>
        <v/>
      </c>
      <c r="K37" s="15" t="str">
        <f t="shared" si="1"/>
        <v/>
      </c>
      <c r="L37" s="15" t="str">
        <f t="shared" si="5"/>
        <v/>
      </c>
    </row>
    <row r="38" spans="2:12" x14ac:dyDescent="0.25">
      <c r="I38" s="15" t="str">
        <f t="shared" si="0"/>
        <v/>
      </c>
      <c r="J38" s="15" t="str">
        <f>IF(I38=1,INDEX(B38:$B$57,MATCH(2,I38:$I$57,0)),"")</f>
        <v/>
      </c>
      <c r="K38" s="15" t="str">
        <f t="shared" si="1"/>
        <v/>
      </c>
      <c r="L38" s="15" t="str">
        <f t="shared" si="5"/>
        <v/>
      </c>
    </row>
  </sheetData>
  <sheetProtection algorithmName="SHA-512" hashValue="ef2r47hO/455gnhKyHUfwkddX8UXV+070ProQiYVkuE7kaghY0b6e1pQ6y/g0004+hbArNWrlFuylFcTP6iKJQ==" saltValue="e6OembejOSWJv5YnNTvLmA==" spinCount="100000" sheet="1" objects="1" scenarios="1"/>
  <hyperlinks>
    <hyperlink ref="H8" location="Ref_E1_E2" display="E1" xr:uid="{329DC55E-8B96-4082-AD18-2B56A0751074}"/>
    <hyperlink ref="H9" location="Ref_E3_E1" display="E1" xr:uid="{8C4E128D-B060-4249-A889-292E97F4BFC2}"/>
    <hyperlink ref="H10" location="Ref_E1_E4" display="E1" xr:uid="{0E98467B-3483-4867-85EE-9AC40D88B52B}"/>
    <hyperlink ref="H11" location="Ref_E1_E5" display="E1" xr:uid="{1DB9ED78-C870-4B46-B301-28B8188AE814}"/>
    <hyperlink ref="H12" location="Ref_E1_E2" display="E1" xr:uid="{82966094-04E7-4804-B2A9-342339F7E908}"/>
    <hyperlink ref="H13" location="Ref_E3_E1" display="E1" xr:uid="{A92DFFB5-A829-4EFF-B42E-010BDBD8CB3E}"/>
    <hyperlink ref="H14" location="Ref_E1_E4" display="E1" xr:uid="{9ECDCCE7-A86E-4C52-8192-91CB415981DD}"/>
    <hyperlink ref="H15" location="Ref_E1_E5" display="E1" xr:uid="{74A92BC9-3BFB-4A1F-853F-15ED6D96FC8B}"/>
    <hyperlink ref="H19" location="Ref_H3_JNL" display="H3" xr:uid="{24B0A772-0F81-4D01-B9CA-9BED6BF16B11}"/>
    <hyperlink ref="H20:H24" location="Ref_H3_JNL" display="H3" xr:uid="{C9D32354-955A-4BDC-A1DC-DBA9C26E9E32}"/>
    <hyperlink ref="H25" location="Ref_H3_JNL" display="H3" xr:uid="{D57C25F5-6B10-4155-B41C-2E24D031F36D}"/>
    <hyperlink ref="H29" location="Ref_J3_JNL" display="J3" xr:uid="{60F20FAB-B3C7-4698-8CA4-3254629FC7C3}"/>
    <hyperlink ref="H30:H35" location="Ref_J3_JNL" display="J3" xr:uid="{8EBEE63D-A22F-4EF8-A7C5-0A3506ED8E48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8AEA2-B469-4D6D-A5F4-603D9220F93C}">
  <sheetPr codeName="Sheet27">
    <tabColor theme="8" tint="0.59999389629810485"/>
  </sheetPr>
  <dimension ref="B1:H10"/>
  <sheetViews>
    <sheetView showGridLines="0" workbookViewId="0"/>
  </sheetViews>
  <sheetFormatPr defaultRowHeight="15" x14ac:dyDescent="0.25"/>
  <cols>
    <col min="1" max="1" width="3.7109375" customWidth="1"/>
    <col min="2" max="2" width="10.7109375" customWidth="1"/>
    <col min="3" max="3" width="35.140625" customWidth="1"/>
    <col min="4" max="5" width="10.7109375" customWidth="1"/>
    <col min="6" max="8" width="15.7109375" customWidth="1"/>
  </cols>
  <sheetData>
    <row r="1" spans="2:8" s="7" customFormat="1" ht="18.75" x14ac:dyDescent="0.3">
      <c r="B1" s="7" t="str">
        <f>Name</f>
        <v>Demo Company</v>
      </c>
      <c r="H1" s="43" t="s">
        <v>222</v>
      </c>
    </row>
    <row r="2" spans="2:8" s="7" customFormat="1" ht="18.75" x14ac:dyDescent="0.3">
      <c r="B2" s="7" t="str">
        <f>ReportName</f>
        <v>Management accounts for the period to 31 August 2021</v>
      </c>
      <c r="F2" s="7" t="str">
        <f>MacroData!$F$7</f>
        <v/>
      </c>
      <c r="G2" s="7" t="str">
        <f>MacroData!$F$8</f>
        <v/>
      </c>
      <c r="H2" s="7" t="str">
        <f>MacroData!$F$9</f>
        <v/>
      </c>
    </row>
    <row r="3" spans="2:8" s="7" customFormat="1" ht="18.75" x14ac:dyDescent="0.3">
      <c r="B3" s="7" t="s">
        <v>220</v>
      </c>
      <c r="F3" s="44" t="str">
        <f>MacroData!$E$7</f>
        <v/>
      </c>
      <c r="G3" s="44" t="str">
        <f>MacroData!$E$8</f>
        <v/>
      </c>
      <c r="H3" s="44" t="str">
        <f>MacroData!$E$9</f>
        <v/>
      </c>
    </row>
    <row r="4" spans="2:8" s="7" customFormat="1" ht="18.75" x14ac:dyDescent="0.3"/>
    <row r="5" spans="2:8" s="26" customFormat="1" x14ac:dyDescent="0.25"/>
    <row r="6" spans="2:8" s="26" customFormat="1" x14ac:dyDescent="0.25">
      <c r="B6" s="10" t="s">
        <v>329</v>
      </c>
      <c r="C6" s="10" t="s">
        <v>230</v>
      </c>
    </row>
    <row r="7" spans="2:8" s="26" customFormat="1" x14ac:dyDescent="0.25">
      <c r="B7" s="11" t="s">
        <v>330</v>
      </c>
      <c r="C7" s="2" t="s">
        <v>334</v>
      </c>
    </row>
    <row r="8" spans="2:8" s="26" customFormat="1" x14ac:dyDescent="0.25">
      <c r="B8" s="11" t="s">
        <v>331</v>
      </c>
      <c r="C8" s="2" t="s">
        <v>335</v>
      </c>
    </row>
    <row r="9" spans="2:8" s="26" customFormat="1" x14ac:dyDescent="0.25">
      <c r="B9" s="11" t="s">
        <v>332</v>
      </c>
      <c r="C9" s="2" t="s">
        <v>336</v>
      </c>
    </row>
    <row r="10" spans="2:8" s="26" customFormat="1" x14ac:dyDescent="0.25">
      <c r="B10" s="11" t="s">
        <v>333</v>
      </c>
      <c r="C10" s="2" t="s">
        <v>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144</vt:i4>
      </vt:variant>
    </vt:vector>
  </HeadingPairs>
  <TitlesOfParts>
    <vt:vector size="170" baseType="lpstr">
      <vt:lpstr>Key</vt:lpstr>
      <vt:lpstr>Input</vt:lpstr>
      <vt:lpstr>SetUp</vt:lpstr>
      <vt:lpstr>Control</vt:lpstr>
      <vt:lpstr>MacroData</vt:lpstr>
      <vt:lpstr>File</vt:lpstr>
      <vt:lpstr>TB</vt:lpstr>
      <vt:lpstr>RVP</vt:lpstr>
      <vt:lpstr>E1</vt:lpstr>
      <vt:lpstr>E2</vt:lpstr>
      <vt:lpstr>E3</vt:lpstr>
      <vt:lpstr>E4</vt:lpstr>
      <vt:lpstr>E5</vt:lpstr>
      <vt:lpstr>H1</vt:lpstr>
      <vt:lpstr>H2</vt:lpstr>
      <vt:lpstr>H3</vt:lpstr>
      <vt:lpstr>H4</vt:lpstr>
      <vt:lpstr>I1</vt:lpstr>
      <vt:lpstr>J1</vt:lpstr>
      <vt:lpstr>J2</vt:lpstr>
      <vt:lpstr>J3</vt:lpstr>
      <vt:lpstr>J4</vt:lpstr>
      <vt:lpstr>M1</vt:lpstr>
      <vt:lpstr>O1</vt:lpstr>
      <vt:lpstr>Journals</vt:lpstr>
      <vt:lpstr>NIndex</vt:lpstr>
      <vt:lpstr>CheckCellP</vt:lpstr>
      <vt:lpstr>CheckCellPr</vt:lpstr>
      <vt:lpstr>CheckCellR</vt:lpstr>
      <vt:lpstr>ClientEmailBody</vt:lpstr>
      <vt:lpstr>CurrentFolder</vt:lpstr>
      <vt:lpstr>E1Copy</vt:lpstr>
      <vt:lpstr>E1CopyExtra</vt:lpstr>
      <vt:lpstr>E1Paste</vt:lpstr>
      <vt:lpstr>E1PasteExtra</vt:lpstr>
      <vt:lpstr>E2ClearExtraYE</vt:lpstr>
      <vt:lpstr>E2ClearYE</vt:lpstr>
      <vt:lpstr>E2CopyExtraYE</vt:lpstr>
      <vt:lpstr>E2CopyYE</vt:lpstr>
      <vt:lpstr>E2PasteExtraYE</vt:lpstr>
      <vt:lpstr>E2PasteYE</vt:lpstr>
      <vt:lpstr>E3ClearExtraYE</vt:lpstr>
      <vt:lpstr>E3ClearYE</vt:lpstr>
      <vt:lpstr>E3CopyExtraYE</vt:lpstr>
      <vt:lpstr>E3CopyYE</vt:lpstr>
      <vt:lpstr>E3PasteExtraYE</vt:lpstr>
      <vt:lpstr>E3PasteYE</vt:lpstr>
      <vt:lpstr>E4ClearExtraYE</vt:lpstr>
      <vt:lpstr>E4ClearYE</vt:lpstr>
      <vt:lpstr>E4CopyExtraYE</vt:lpstr>
      <vt:lpstr>E4CopyYE</vt:lpstr>
      <vt:lpstr>E4PasteExtraYE</vt:lpstr>
      <vt:lpstr>E4PasteYE</vt:lpstr>
      <vt:lpstr>E5ClearExtraYE</vt:lpstr>
      <vt:lpstr>E5ClearYE</vt:lpstr>
      <vt:lpstr>E5CopyExtraYE</vt:lpstr>
      <vt:lpstr>E5CopyYE</vt:lpstr>
      <vt:lpstr>E5PasteExtraYE</vt:lpstr>
      <vt:lpstr>E5PasteYE</vt:lpstr>
      <vt:lpstr>FinalReportMonth</vt:lpstr>
      <vt:lpstr>H1Copy</vt:lpstr>
      <vt:lpstr>H1CopyYE</vt:lpstr>
      <vt:lpstr>H1Paste</vt:lpstr>
      <vt:lpstr>H1PasteYE</vt:lpstr>
      <vt:lpstr>H2Copy</vt:lpstr>
      <vt:lpstr>H2CopyYE</vt:lpstr>
      <vt:lpstr>H2Paste</vt:lpstr>
      <vt:lpstr>H2PasteYE</vt:lpstr>
      <vt:lpstr>H3Copy</vt:lpstr>
      <vt:lpstr>H3CopyExtra</vt:lpstr>
      <vt:lpstr>H3CopyYE</vt:lpstr>
      <vt:lpstr>H3Paste</vt:lpstr>
      <vt:lpstr>H3PasteExtra</vt:lpstr>
      <vt:lpstr>H3PasteYE</vt:lpstr>
      <vt:lpstr>H4Copy</vt:lpstr>
      <vt:lpstr>H4CopyYE</vt:lpstr>
      <vt:lpstr>H4Paste</vt:lpstr>
      <vt:lpstr>H4PasteYE</vt:lpstr>
      <vt:lpstr>I1Copy</vt:lpstr>
      <vt:lpstr>I1CopyYE</vt:lpstr>
      <vt:lpstr>I1Paste</vt:lpstr>
      <vt:lpstr>I1PasteYE</vt:lpstr>
      <vt:lpstr>J1Copy</vt:lpstr>
      <vt:lpstr>J1CopyYE</vt:lpstr>
      <vt:lpstr>J1Paste</vt:lpstr>
      <vt:lpstr>J1PasteYE</vt:lpstr>
      <vt:lpstr>J2Copy</vt:lpstr>
      <vt:lpstr>J2CopyYE</vt:lpstr>
      <vt:lpstr>J2Paste</vt:lpstr>
      <vt:lpstr>J2PasteYE</vt:lpstr>
      <vt:lpstr>J3Copy</vt:lpstr>
      <vt:lpstr>J3CopyYE</vt:lpstr>
      <vt:lpstr>J3Paste</vt:lpstr>
      <vt:lpstr>J3PasteYE</vt:lpstr>
      <vt:lpstr>J4Copy</vt:lpstr>
      <vt:lpstr>J4CopyYE</vt:lpstr>
      <vt:lpstr>J4paste</vt:lpstr>
      <vt:lpstr>J4PasteYE</vt:lpstr>
      <vt:lpstr>M1ClearYE</vt:lpstr>
      <vt:lpstr>Manager</vt:lpstr>
      <vt:lpstr>ManagerDateSign</vt:lpstr>
      <vt:lpstr>ManagerEmailBody</vt:lpstr>
      <vt:lpstr>MangCost</vt:lpstr>
      <vt:lpstr>MonthNumber</vt:lpstr>
      <vt:lpstr>Name</vt:lpstr>
      <vt:lpstr>O1ClearYE</vt:lpstr>
      <vt:lpstr>O1CopyYE</vt:lpstr>
      <vt:lpstr>O1PasteYE</vt:lpstr>
      <vt:lpstr>PartCost</vt:lpstr>
      <vt:lpstr>Partner</vt:lpstr>
      <vt:lpstr>PartnerDateSign</vt:lpstr>
      <vt:lpstr>PartnerEmailBody</vt:lpstr>
      <vt:lpstr>PFM1_</vt:lpstr>
      <vt:lpstr>PFM10_</vt:lpstr>
      <vt:lpstr>PFM10ph</vt:lpstr>
      <vt:lpstr>PFM11_</vt:lpstr>
      <vt:lpstr>PFM11ph</vt:lpstr>
      <vt:lpstr>PFM12_</vt:lpstr>
      <vt:lpstr>PFM12ph</vt:lpstr>
      <vt:lpstr>PFM1ph</vt:lpstr>
      <vt:lpstr>PFM2_</vt:lpstr>
      <vt:lpstr>PFM2ph</vt:lpstr>
      <vt:lpstr>PFM3_</vt:lpstr>
      <vt:lpstr>PFM3ph</vt:lpstr>
      <vt:lpstr>PFM4_</vt:lpstr>
      <vt:lpstr>PFM4ph</vt:lpstr>
      <vt:lpstr>PFM5_</vt:lpstr>
      <vt:lpstr>PFM5ph</vt:lpstr>
      <vt:lpstr>PFM6_</vt:lpstr>
      <vt:lpstr>PFM6ph</vt:lpstr>
      <vt:lpstr>PFM7_</vt:lpstr>
      <vt:lpstr>PFM7ph</vt:lpstr>
      <vt:lpstr>PFM8_</vt:lpstr>
      <vt:lpstr>PFM8ph</vt:lpstr>
      <vt:lpstr>PFM9_</vt:lpstr>
      <vt:lpstr>PFM9ph</vt:lpstr>
      <vt:lpstr>Preparer</vt:lpstr>
      <vt:lpstr>PreparerEmailBody</vt:lpstr>
      <vt:lpstr>PrepCost</vt:lpstr>
      <vt:lpstr>PrepDateSign</vt:lpstr>
      <vt:lpstr>PriorFolder</vt:lpstr>
      <vt:lpstr>PriorPeriod</vt:lpstr>
      <vt:lpstr>Ref_E1_E2</vt:lpstr>
      <vt:lpstr>Ref_E1_E3</vt:lpstr>
      <vt:lpstr>Ref_E1_E4</vt:lpstr>
      <vt:lpstr>Ref_E1_E5</vt:lpstr>
      <vt:lpstr>Ref_E2_E1</vt:lpstr>
      <vt:lpstr>Ref_E3_E1</vt:lpstr>
      <vt:lpstr>Ref_E4_E1</vt:lpstr>
      <vt:lpstr>Ref_E5_E1</vt:lpstr>
      <vt:lpstr>Ref_H1_H2</vt:lpstr>
      <vt:lpstr>Ref_H1_H3</vt:lpstr>
      <vt:lpstr>Ref_H1_H4</vt:lpstr>
      <vt:lpstr>Ref_H2_H1</vt:lpstr>
      <vt:lpstr>Ref_H3_H1</vt:lpstr>
      <vt:lpstr>Ref_H3_JNL</vt:lpstr>
      <vt:lpstr>Ref_H4_H1</vt:lpstr>
      <vt:lpstr>Ref_J1_J2</vt:lpstr>
      <vt:lpstr>Ref_J1_J3</vt:lpstr>
      <vt:lpstr>Ref_J1_J4</vt:lpstr>
      <vt:lpstr>Ref_J2_J1</vt:lpstr>
      <vt:lpstr>Ref_J3_J1</vt:lpstr>
      <vt:lpstr>Ref_J3_JNL</vt:lpstr>
      <vt:lpstr>Ref_J4_J1</vt:lpstr>
      <vt:lpstr>Ref_JNL_H3</vt:lpstr>
      <vt:lpstr>Ref_JNL_J3</vt:lpstr>
      <vt:lpstr>ReportingMonth</vt:lpstr>
      <vt:lpstr>ReportName</vt:lpstr>
      <vt:lpstr>Today</vt:lpstr>
      <vt:lpstr>YE0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 Trengove</dc:creator>
  <cp:lastModifiedBy>sid Trengove</cp:lastModifiedBy>
  <dcterms:created xsi:type="dcterms:W3CDTF">2021-09-17T04:54:36Z</dcterms:created>
  <dcterms:modified xsi:type="dcterms:W3CDTF">2021-09-26T09:56:56Z</dcterms:modified>
</cp:coreProperties>
</file>